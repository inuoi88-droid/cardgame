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1" autoFilterDateGrouping="1"/>
  </bookViews>
  <sheets>
    <sheet xmlns:r="http://schemas.openxmlformats.org/officeDocument/2006/relationships" name="使い方" sheetId="1" state="visible" r:id="rId1"/>
    <sheet xmlns:r="http://schemas.openxmlformats.org/officeDocument/2006/relationships" name="全要素一覧" sheetId="2" state="visible" r:id="rId2"/>
    <sheet xmlns:r="http://schemas.openxmlformats.org/officeDocument/2006/relationships" name="集計" sheetId="3" state="visible" r:id="rId3"/>
  </sheets>
  <definedNames>
    <definedName name="_xlnm._FilterDatabase" localSheetId="1" hidden="1">'全要素一覧'!$A$1:$M$642</definedName>
  </definedNames>
  <calcPr calcId="191029" fullCalcOnLoad="1" iterateDelta="0.0001"/>
</workbook>
</file>

<file path=xl/styles.xml><?xml version="1.0" encoding="utf-8"?>
<styleSheet xmlns="http://schemas.openxmlformats.org/spreadsheetml/2006/main">
  <numFmts count="0"/>
  <fonts count="12">
    <font>
      <name val="Calibri"/>
      <charset val="1"/>
      <family val="2"/>
      <color theme="1"/>
      <sz val="11"/>
    </font>
    <font>
      <name val="Yu Gothic"/>
      <charset val="128"/>
      <family val="3"/>
      <b val="1"/>
      <sz val="14"/>
    </font>
    <font>
      <name val="Noto Sans CJK SC"/>
      <family val="2"/>
      <b val="1"/>
      <sz val="14"/>
    </font>
    <font>
      <name val="Noto Sans CJK SC"/>
      <family val="2"/>
      <sz val="10"/>
    </font>
    <font>
      <name val="Yu Gothic"/>
      <charset val="128"/>
      <family val="3"/>
      <sz val="10"/>
    </font>
    <font>
      <name val="Noto Sans CJK SC"/>
      <family val="2"/>
      <b val="1"/>
      <sz val="10"/>
    </font>
    <font>
      <name val="Yu Gothic"/>
      <charset val="128"/>
      <family val="3"/>
      <b val="1"/>
      <color rgb="FFFFFFFF"/>
      <sz val="10"/>
    </font>
    <font>
      <name val="Noto Sans CJK SC"/>
      <family val="2"/>
      <b val="1"/>
      <color rgb="FFFFFFFF"/>
      <sz val="10"/>
    </font>
    <font>
      <name val="Yu Gothic"/>
      <charset val="128"/>
      <family val="3"/>
      <b val="1"/>
      <sz val="10"/>
    </font>
    <font>
      <name val="ＭＳ Ｐゴシック"/>
      <charset val="128"/>
      <family val="3"/>
      <sz val="6"/>
    </font>
    <font>
      <name val="ＭＳ ゴシック"/>
      <charset val="128"/>
      <family val="3"/>
      <sz val="10"/>
    </font>
    <font>
      <name val="Noto Sans CJK SC"/>
      <charset val="128"/>
      <family val="3"/>
      <sz val="10"/>
    </font>
  </fonts>
  <fills count="4">
    <fill>
      <patternFill/>
    </fill>
    <fill>
      <patternFill patternType="gray125"/>
    </fill>
    <fill>
      <patternFill patternType="solid">
        <fgColor rgb="FF2F3E4E"/>
        <bgColor rgb="FF333399"/>
      </patternFill>
    </fill>
    <fill>
      <patternFill patternType="solid">
        <fgColor rgb="FFFFF6D6"/>
        <bgColor rgb="FFFCEFD2"/>
      </patternFill>
    </fill>
  </fills>
  <borders count="2">
    <border>
      <left/>
      <right/>
      <top/>
      <bottom/>
      <diagonal/>
    </border>
    <border>
      <left style="thin">
        <color rgb="FFD0D4D9"/>
      </left>
      <right style="thin">
        <color rgb="FFD0D4D9"/>
      </right>
      <top style="thin">
        <color rgb="FFD0D4D9"/>
      </top>
      <bottom style="thin">
        <color rgb="FFD0D4D9"/>
      </bottom>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0" fontId="6" fillId="2" borderId="1" applyAlignment="1" pivotButton="0" quotePrefix="0" xfId="0">
      <alignment horizontal="center" vertical="top" wrapText="1"/>
    </xf>
    <xf numFmtId="0" fontId="7" fillId="2" borderId="1" applyAlignment="1" pivotButton="0" quotePrefix="0" xfId="0">
      <alignment horizontal="center" vertical="top" wrapText="1"/>
    </xf>
    <xf numFmtId="0" fontId="4" fillId="0" borderId="1" applyAlignment="1" pivotButton="0" quotePrefix="0" xfId="0">
      <alignment horizontal="center" vertical="top" wrapText="1"/>
    </xf>
    <xf numFmtId="0" fontId="3"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horizontal="center" vertical="top" wrapText="1"/>
    </xf>
    <xf numFmtId="0" fontId="4" fillId="3" borderId="1" applyAlignment="1" pivotButton="0" quotePrefix="0" xfId="0">
      <alignment horizontal="center" vertical="top" wrapText="1"/>
    </xf>
    <xf numFmtId="0" fontId="4" fillId="3" borderId="1" applyAlignment="1" pivotButton="0" quotePrefix="0" xfId="0">
      <alignment vertical="top" wrapText="1"/>
    </xf>
    <xf numFmtId="0" fontId="8" fillId="0" borderId="1" applyAlignment="1" pivotButton="0" quotePrefix="0" xfId="0">
      <alignment vertical="top" wrapText="1"/>
    </xf>
    <xf numFmtId="0" fontId="2" fillId="0" borderId="0" pivotButton="0" quotePrefix="0" xfId="0"/>
    <xf numFmtId="0" fontId="5" fillId="0" borderId="1" applyAlignment="1" pivotButton="0" quotePrefix="0" xfId="0">
      <alignment horizontal="left" vertical="center"/>
    </xf>
    <xf numFmtId="0" fontId="4" fillId="0" borderId="1" applyAlignment="1" pivotButton="0" quotePrefix="0" xfId="0">
      <alignment horizontal="center" vertical="center"/>
    </xf>
    <xf numFmtId="0" fontId="8" fillId="0" borderId="1" applyAlignment="1" pivotButton="0" quotePrefix="0" xfId="0">
      <alignment horizontal="center" vertical="center"/>
    </xf>
    <xf numFmtId="0" fontId="11" fillId="0" borderId="1" applyAlignment="1" pivotButton="0" quotePrefix="0" xfId="0">
      <alignment vertical="top" wrapText="1"/>
    </xf>
  </cellXfs>
  <cellStyles count="1">
    <cellStyle name="標準" xfId="0" builtinId="0"/>
  </cellStyles>
  <dxfs count="3">
    <dxf>
      <fill>
        <patternFill>
          <bgColor rgb="FFF6D9D9"/>
        </patternFill>
      </fill>
    </dxf>
    <dxf>
      <fill>
        <patternFill>
          <bgColor rgb="FFFCEFD2"/>
        </patternFill>
      </fill>
    </dxf>
    <dxf>
      <fill>
        <patternFill>
          <bgColor rgb="FFDDF0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6"/>
      <rgbColor rgb="FFCCFFFF"/>
      <rgbColor rgb="FF660066"/>
      <rgbColor rgb="FFFF8080"/>
      <rgbColor rgb="FF0066CC"/>
      <rgbColor rgb="FFD0D4D9"/>
      <rgbColor rgb="FF000080"/>
      <rgbColor rgb="FFFF00FF"/>
      <rgbColor rgb="FFFFFF00"/>
      <rgbColor rgb="FF00FFFF"/>
      <rgbColor rgb="FF800080"/>
      <rgbColor rgb="FF800000"/>
      <rgbColor rgb="FF008080"/>
      <rgbColor rgb="FF0000FF"/>
      <rgbColor rgb="FF00CCFF"/>
      <rgbColor rgb="FFCCFFFF"/>
      <rgbColor rgb="FFDDF0DD"/>
      <rgbColor rgb="FFFCEFD2"/>
      <rgbColor rgb="FF99CCFF"/>
      <rgbColor rgb="FFFF99CC"/>
      <rgbColor rgb="FFCC99FF"/>
      <rgbColor rgb="FFF6D9D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3E4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zoomScaleNormal="100" workbookViewId="0">
      <selection activeCell="A1" sqref="A1"/>
    </sheetView>
  </sheetViews>
  <sheetFormatPr baseColWidth="8" defaultColWidth="8.6328125" defaultRowHeight="14.5"/>
  <cols>
    <col width="120" customWidth="1" min="1" max="1"/>
  </cols>
  <sheetData>
    <row r="1" ht="22.5" customHeight="1">
      <c r="A1" s="1" t="inlineStr">
        <is>
          <t>MTG要素カタログ</t>
        </is>
      </c>
    </row>
    <row r="2" ht="29" customHeight="1">
      <c r="A2" s="2" t="inlineStr">
        <is>
          <t>自作カードゲームに取り込めそうなMTGの要素を、カードタイプからキーワード、デジタル専用メカニズム、定番のデザイン手法まで一覧にしたもの。</t>
        </is>
      </c>
    </row>
    <row r="3">
      <c r="A3" s="2" t="n"/>
    </row>
    <row r="4">
      <c r="A4" s="3" t="inlineStr">
        <is>
          <t>入力欄（薄い黄色）</t>
        </is>
      </c>
    </row>
    <row r="5" ht="16.5" customHeight="1">
      <c r="A5" s="2" t="inlineStr">
        <is>
          <t>採用検討：◎ 採用確定 / ○ 採用候補 / △ アレンジすれば使える / × 不採用。プルダウンから選ぶと集計シートに反映される</t>
        </is>
      </c>
    </row>
    <row r="6" ht="16.5" customHeight="1">
      <c r="A6" s="2" t="inlineStr">
        <is>
          <t>メモ：ポイントコスト案や自分のカード名など自由記入。例）飛行 → 採用検討 ○、メモ「貫通 +2pt。ブロック値無視」</t>
        </is>
      </c>
    </row>
    <row r="7">
      <c r="A7" s="2" t="n"/>
    </row>
    <row r="8">
      <c r="A8" s="3" t="inlineStr">
        <is>
          <t>導入しやすさの基準</t>
        </is>
      </c>
    </row>
    <row r="9" ht="16.5" customHeight="1">
      <c r="A9" s="2" t="inlineStr">
        <is>
          <t>高：フラグや数値1つで実装できる（例：速攻、絆魂）</t>
        </is>
      </c>
    </row>
    <row r="10" ht="16.5" customHeight="1">
      <c r="A10" s="2" t="inlineStr">
        <is>
          <t>中：新しいゾーン・状態管理・追加UIが要る（例：墓地から唱える、カウンター管理）</t>
        </is>
      </c>
    </row>
    <row r="11">
      <c r="A11" s="2" t="inlineStr">
        <is>
          <t>低：割り込み・スタック・複雑なタイミング処理など大掛かり（例：打ち消し、瞬速の応酬）</t>
        </is>
      </c>
    </row>
    <row r="12">
      <c r="A12" s="2" t="n"/>
    </row>
    <row r="13">
      <c r="A13" s="3" t="inlineStr">
        <is>
          <t>列の見方</t>
        </is>
      </c>
    </row>
    <row r="14">
      <c r="A14" s="2" t="inlineStr">
        <is>
          <t>大分類：カードタイプ、キーワード能力、キーワード処理、能力語、デジタル専用メカニズムなど。総合ルール上の区分に準拠</t>
        </is>
      </c>
    </row>
    <row r="15">
      <c r="A15" s="2" t="inlineStr">
        <is>
          <t>機能タグ：ゲーム上の役割（攻撃、除去、ドロー・手札、墓地利用など）。デッキの役割設計やカードの並べ替えに使う</t>
        </is>
      </c>
    </row>
    <row r="16">
      <c r="A16" s="2" t="inlineStr">
        <is>
          <t>名称（日本語）：日本語版カードの公式表記。公式キーワードでないものは（通称）、公式訳がないものは（非公式訳）と付記</t>
        </is>
      </c>
    </row>
    <row r="17" ht="16.5" customHeight="1">
      <c r="A17" s="2" t="inlineStr">
        <is>
          <t>総合ルール：MTG総合ルールの項目番号（702＝キーワード能力、701＝キーワード処理、207.2c＝能力語）</t>
        </is>
      </c>
    </row>
    <row r="18" ht="16.5" customHeight="1">
      <c r="A18" s="2" t="inlineStr">
        <is>
          <t>前提システム：その要素を入れるために先に用意が必要な仕組み（墓地ゾーン、攻撃・ブロック、マナ/エネルギーなど）</t>
        </is>
      </c>
    </row>
    <row r="19">
      <c r="A19" s="2" t="n"/>
    </row>
    <row r="20">
      <c r="A20" s="3" t="inlineStr">
        <is>
          <t>出典</t>
        </is>
      </c>
    </row>
    <row r="21" ht="29" customHeight="1">
      <c r="A21" s="4" t="inlineStr">
        <is>
          <t>MTG Wiki（mtgwiki.com）、MTG Wiki英語版（mtg.fandom.com）、Scryfall、Wizards of the Coast 総合ルール をもとに要約。効果の説明は要約であり、厳密なルールは総合ルールを参照のこと</t>
        </is>
      </c>
    </row>
    <row r="22" ht="16.5" customHeight="1">
      <c r="A22" s="4" t="inlineStr">
        <is>
          <t>2026年10月時点で確認できた範囲。新セットで追加された要素は今後増える</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642"/>
  <sheetViews>
    <sheetView tabSelected="1" zoomScaleNormal="100" workbookViewId="0">
      <pane xSplit="4" ySplit="1" topLeftCell="I2" activePane="bottomRight" state="frozen"/>
      <selection pane="topRight" activeCell="E1" sqref="E1"/>
      <selection pane="bottomLeft" activeCell="A2" sqref="A2"/>
      <selection pane="bottomRight" activeCell="I5" sqref="I5"/>
    </sheetView>
  </sheetViews>
  <sheetFormatPr baseColWidth="8" defaultColWidth="8.6328125" defaultRowHeight="14.5"/>
  <cols>
    <col width="6" customWidth="1" min="1" max="1"/>
    <col width="16" customWidth="1" min="2" max="3"/>
    <col width="22" customWidth="1" min="4" max="4"/>
    <col width="24" customWidth="1" min="5" max="5"/>
    <col width="11" customWidth="1" min="6" max="6"/>
    <col width="46" customWidth="1" min="7" max="7"/>
    <col width="22" customWidth="1" min="8" max="8"/>
    <col width="54" customWidth="1" min="9" max="9"/>
    <col width="11" customWidth="1" min="10" max="10"/>
    <col width="16" customWidth="1" min="11" max="11"/>
    <col width="10" customWidth="1" min="12" max="12"/>
    <col width="28" customWidth="1" min="13" max="13"/>
  </cols>
  <sheetData>
    <row r="1" ht="21.75" customHeight="1">
      <c r="A1" s="5" t="inlineStr">
        <is>
          <t>No</t>
        </is>
      </c>
      <c r="B1" s="6" t="inlineStr">
        <is>
          <t>大分類</t>
        </is>
      </c>
      <c r="C1" s="6" t="inlineStr">
        <is>
          <t>機能タグ</t>
        </is>
      </c>
      <c r="D1" s="6" t="inlineStr">
        <is>
          <t>名称（日本語）</t>
        </is>
      </c>
      <c r="E1" s="6" t="inlineStr">
        <is>
          <t>名称（英語）</t>
        </is>
      </c>
      <c r="F1" s="6" t="inlineStr">
        <is>
          <t>総合ルール</t>
        </is>
      </c>
      <c r="G1" s="5" t="inlineStr">
        <is>
          <t>MTGでの効果</t>
        </is>
      </c>
      <c r="H1" s="6" t="inlineStr">
        <is>
          <t>初出</t>
        </is>
      </c>
      <c r="I1" s="6" t="inlineStr">
        <is>
          <t>自作ゲームへの応用案</t>
        </is>
      </c>
      <c r="J1" s="6" t="inlineStr">
        <is>
          <t>導入しやすさ</t>
        </is>
      </c>
      <c r="K1" s="6" t="inlineStr">
        <is>
          <t>前提システム</t>
        </is>
      </c>
      <c r="L1" s="6" t="inlineStr">
        <is>
          <t>採用検討</t>
        </is>
      </c>
      <c r="M1" s="6" t="inlineStr">
        <is>
          <t>メモ</t>
        </is>
      </c>
    </row>
    <row r="2" ht="37.5" customHeight="1">
      <c r="A2" s="7" t="n">
        <v>1</v>
      </c>
      <c r="B2" s="8" t="inlineStr">
        <is>
          <t>カードタイプ</t>
        </is>
      </c>
      <c r="C2" s="8" t="inlineStr">
        <is>
          <t>ルール基盤</t>
        </is>
      </c>
      <c r="D2" s="9" t="inlineStr">
        <is>
          <t>アーティファクト</t>
        </is>
      </c>
      <c r="E2" s="10" t="inlineStr">
        <is>
          <t>Artifact</t>
        </is>
      </c>
      <c r="F2" s="7" t="inlineStr">
        <is>
          <t>301</t>
        </is>
      </c>
      <c r="G2" s="8" t="inlineStr">
        <is>
          <t>無色のものが多い人工物のパーマネント。色を問わず採用でき、装備品や機体などのサブタイプで役割が広がる。</t>
        </is>
      </c>
      <c r="H2" s="8" t="inlineStr">
        <is>
          <t>アルファ (1993)</t>
        </is>
      </c>
      <c r="I2" s="8" t="inlineStr">
        <is>
          <t>どのデッキにも入る無属性の装置カード枠として実装する。属性制限を外す代わりにポイント単価を属性カードより高めに設定すると、汎用性と強さの釣り合いが取れる。</t>
        </is>
      </c>
      <c r="J2" s="11" t="inlineStr">
        <is>
          <t>高</t>
        </is>
      </c>
      <c r="K2" s="8" t="inlineStr">
        <is>
          <t>永続カード枠</t>
        </is>
      </c>
      <c r="L2" s="12" t="inlineStr">
        <is>
          <t>×</t>
        </is>
      </c>
      <c r="M2" s="13" t="inlineStr">
        <is>
          <t>色が無いので全カードが既に無色。既存：全カード</t>
        </is>
      </c>
    </row>
    <row r="3" ht="41.5" customHeight="1">
      <c r="A3" s="7" t="n">
        <v>2</v>
      </c>
      <c r="B3" s="8" t="inlineStr">
        <is>
          <t>カードタイプ</t>
        </is>
      </c>
      <c r="C3" s="8" t="inlineStr">
        <is>
          <t>攻撃</t>
        </is>
      </c>
      <c r="D3" s="9" t="inlineStr">
        <is>
          <t>バトル</t>
        </is>
      </c>
      <c r="E3" s="10" t="inlineStr">
        <is>
          <t>Battle</t>
        </is>
      </c>
      <c r="F3" s="7" t="inlineStr">
        <is>
          <t>310</t>
        </is>
      </c>
      <c r="G3" s="8" t="inlineStr">
        <is>
          <t>守備カウンターで耐久を表すパーマネント。対戦相手が守る側となり、攻撃して守備値を0にすると多くは裏面に変身して報酬になる。</t>
        </is>
      </c>
      <c r="H3" s="8" t="inlineStr">
        <is>
          <t>機械兵団の進軍 (2023)</t>
        </is>
      </c>
      <c r="I3" s="8" t="inlineStr">
        <is>
          <t>相手側に攻略目標を置くカード。耐久を削り切ると裏面の強力な効果が手に入る形にすると、攻撃を本体と目標のどちらに振るかの判断が生まれる。耐久と報酬からポイントを逆算する。</t>
        </is>
      </c>
      <c r="J3" s="11" t="inlineStr">
        <is>
          <t>中</t>
        </is>
      </c>
      <c r="K3" s="8" t="inlineStr">
        <is>
          <t>耐久値・攻撃先選択</t>
        </is>
      </c>
      <c r="L3" s="12" t="inlineStr">
        <is>
          <t>△</t>
        </is>
      </c>
      <c r="M3" s="13" t="inlineStr">
        <is>
          <t>相手の場に攻撃しない『砦』モンスターを置き、倒すと相手が報酬を得る形なら可。裏面・変身は重い</t>
        </is>
      </c>
    </row>
    <row r="4" ht="52.5" customHeight="1">
      <c r="A4" s="7" t="n">
        <v>3</v>
      </c>
      <c r="B4" s="8" t="inlineStr">
        <is>
          <t>カードタイプ</t>
        </is>
      </c>
      <c r="C4" s="8" t="inlineStr">
        <is>
          <t>攻撃</t>
        </is>
      </c>
      <c r="D4" s="9" t="inlineStr">
        <is>
          <t>クリーチャー</t>
        </is>
      </c>
      <c r="E4" s="10" t="inlineStr">
        <is>
          <t>Creature</t>
        </is>
      </c>
      <c r="F4" s="7" t="inlineStr">
        <is>
          <t>302</t>
        </is>
      </c>
      <c r="G4" s="8" t="inlineStr">
        <is>
          <t>パワーとタフネスを持ち、攻撃とブロックを担う主力のパーマネント。出たターンは召喚酔いで攻撃できない。</t>
        </is>
      </c>
      <c r="H4" s="8" t="inlineStr">
        <is>
          <t>アルファ (1993)</t>
        </is>
      </c>
      <c r="I4" s="19" t="inlineStr">
        <is>
          <t>場に残って毎ターン働く召喚ユニット。攻撃値と耐久値をポイント1点あたりの換算表で決めると予算管理しやすい。StS型の本体戦闘と並立させるなら、ユニットは自動攻撃にすると操作が軽い。</t>
        </is>
      </c>
      <c r="J4" s="11" t="inlineStr">
        <is>
          <t>中</t>
        </is>
      </c>
      <c r="K4" s="8" t="inlineStr">
        <is>
          <t>盤面・ユニット管理</t>
        </is>
      </c>
      <c r="L4" s="12" t="inlineStr">
        <is>
          <t>×</t>
        </is>
      </c>
      <c r="M4" s="13" t="inlineStr">
        <is>
          <t>既存：モンスター</t>
        </is>
      </c>
    </row>
    <row r="5" ht="45.5" customHeight="1">
      <c r="A5" s="7" t="n">
        <v>4</v>
      </c>
      <c r="B5" s="8" t="inlineStr">
        <is>
          <t>カードタイプ</t>
        </is>
      </c>
      <c r="C5" s="8" t="inlineStr">
        <is>
          <t>強化</t>
        </is>
      </c>
      <c r="D5" s="9" t="inlineStr">
        <is>
          <t>エンチャント</t>
        </is>
      </c>
      <c r="E5" s="10" t="inlineStr">
        <is>
          <t>Enchantment</t>
        </is>
      </c>
      <c r="F5" s="7" t="inlineStr">
        <is>
          <t>303</t>
        </is>
      </c>
      <c r="G5" s="8" t="inlineStr">
        <is>
          <t>場に残り続けて継続的な効果を与える魔法のパーマネント。オーラや英雄譚など多様なサブタイプを持つ。</t>
        </is>
      </c>
      <c r="H5" s="8" t="inlineStr">
        <is>
          <t>アルファ (1993)</t>
        </is>
      </c>
      <c r="I5" s="10" t="inlineStr">
        <is>
          <t>StSのパワーカードに相当する永続効果枠。一度使えば戦闘中ずっと効果が続く。効果量×想定持続ターン数でポイントを見積もり、除去手段の有無で補正する。</t>
        </is>
      </c>
      <c r="J5" s="11" t="inlineStr">
        <is>
          <t>高</t>
        </is>
      </c>
      <c r="K5" s="8" t="inlineStr">
        <is>
          <t>永続効果枠</t>
        </is>
      </c>
      <c r="L5" s="12" t="inlineStr">
        <is>
          <t>×</t>
        </is>
      </c>
      <c r="M5" s="13" t="inlineStr">
        <is>
          <t>既存：パワー</t>
        </is>
      </c>
    </row>
    <row r="6" ht="37.5" customHeight="1">
      <c r="A6" s="7" t="n">
        <v>5</v>
      </c>
      <c r="B6" s="8" t="inlineStr">
        <is>
          <t>カードタイプ</t>
        </is>
      </c>
      <c r="C6" s="8" t="inlineStr">
        <is>
          <t>妨害</t>
        </is>
      </c>
      <c r="D6" s="9" t="inlineStr">
        <is>
          <t>インスタント</t>
        </is>
      </c>
      <c r="E6" s="10" t="inlineStr">
        <is>
          <t>Instant</t>
        </is>
      </c>
      <c r="F6" s="7" t="inlineStr">
        <is>
          <t>304</t>
        </is>
      </c>
      <c r="G6" s="8" t="inlineStr">
        <is>
          <t>優先権があればいつでも唱えられる使い切りの呪文。相手の行動への対応や戦闘中の奇襲に使う。</t>
        </is>
      </c>
      <c r="H6" s="8" t="inlineStr">
        <is>
          <t>アルファ (1993)</t>
        </is>
      </c>
      <c r="I6" s="8" t="inlineStr">
        <is>
          <t>相手ターン中に使える割り込みカード。オンラインでは制限時間付きの応答待ちが要る。初期実装は「相手の攻撃時に自動で発動する罠」として予約型にすると処理が軽い。</t>
        </is>
      </c>
      <c r="J6" s="11" t="inlineStr">
        <is>
          <t>低</t>
        </is>
      </c>
      <c r="K6" s="8" t="inlineStr">
        <is>
          <t>割り込みタイミング</t>
        </is>
      </c>
      <c r="L6" s="12" t="inlineStr">
        <is>
          <t>△</t>
        </is>
      </c>
      <c r="M6" s="13" t="inlineStr">
        <is>
          <t>割り込み不可。予約型の『罠』（相手が攻撃したら発動）なら既存：反撃の拡張として可</t>
        </is>
      </c>
    </row>
    <row r="7" ht="41.5" customHeight="1">
      <c r="A7" s="7" t="n">
        <v>6</v>
      </c>
      <c r="B7" s="8" t="inlineStr">
        <is>
          <t>カードタイプ</t>
        </is>
      </c>
      <c r="C7" s="8" t="inlineStr">
        <is>
          <t>デッキ構築</t>
        </is>
      </c>
      <c r="D7" s="9" t="inlineStr">
        <is>
          <t>同族</t>
        </is>
      </c>
      <c r="E7" s="10" t="inlineStr">
        <is>
          <t>Kindred</t>
        </is>
      </c>
      <c r="F7" s="7" t="inlineStr">
        <is>
          <t>308</t>
        </is>
      </c>
      <c r="G7" s="8" t="inlineStr">
        <is>
          <t>他のカード・タイプと組み合わさり、そのカードにクリーチャー・タイプを持たせるカード・タイプ。旧称は部族で2024年に改名。</t>
        </is>
      </c>
      <c r="H7" s="8" t="inlineStr">
        <is>
          <t>未来予知 (2007)</t>
        </is>
      </c>
      <c r="I7" s="8" t="inlineStr">
        <is>
          <t>スキルや装置カードに種族タグを付ける仕組み。ドラゴン・タグ付きのスキルがドラゴン強化の恩恵を受けるようにすれば種族デッキの幅が広がる。タグ付与自体に少額のポイントを課す。</t>
        </is>
      </c>
      <c r="J7" s="11" t="inlineStr">
        <is>
          <t>高</t>
        </is>
      </c>
      <c r="K7" s="8" t="inlineStr">
        <is>
          <t>タグ・種族システム</t>
        </is>
      </c>
      <c r="L7" s="12" t="inlineStr">
        <is>
          <t>△</t>
        </is>
      </c>
      <c r="M7" s="13" t="inlineStr">
        <is>
          <t>種族タグをスキルにも付ける案。No.53の種族タグに統合して検討</t>
        </is>
      </c>
    </row>
    <row r="8" ht="58" customHeight="1">
      <c r="A8" s="7" t="n">
        <v>7</v>
      </c>
      <c r="B8" s="8" t="inlineStr">
        <is>
          <t>カードタイプ</t>
        </is>
      </c>
      <c r="C8" s="8" t="inlineStr">
        <is>
          <t>コスト・リソース</t>
        </is>
      </c>
      <c r="D8" s="9" t="inlineStr">
        <is>
          <t>土地</t>
        </is>
      </c>
      <c r="E8" s="10" t="inlineStr">
        <is>
          <t>Land</t>
        </is>
      </c>
      <c r="F8" s="7" t="inlineStr">
        <is>
          <t>305</t>
        </is>
      </c>
      <c r="G8" s="8" t="inlineStr">
        <is>
          <t>マナを生む基盤のパーマネント。唱えずにプレイし、原則1ターンに1枚まで戦場に出せる。</t>
        </is>
      </c>
      <c r="H8" s="8" t="inlineStr">
        <is>
          <t>アルファ (1993)</t>
        </is>
      </c>
      <c r="I8" s="8" t="inlineStr">
        <is>
          <t>エネルギー上限を恒久的に伸ばす資源カードとして移植できる。1ターン1枚の制限を付け、資源と通常カードの比率をデッキ構築の要素にする。資源事故対策にドローと選べる2択カードも用意する。</t>
        </is>
      </c>
      <c r="J8" s="11" t="inlineStr">
        <is>
          <t>中</t>
        </is>
      </c>
      <c r="K8" s="8" t="inlineStr">
        <is>
          <t>マナ/エネルギー</t>
        </is>
      </c>
      <c r="L8" s="12" t="inlineStr">
        <is>
          <t>×</t>
        </is>
      </c>
      <c r="M8" s="13" t="inlineStr">
        <is>
          <t>土地・マナ前提。エナジーは自動成長で既存</t>
        </is>
      </c>
    </row>
    <row r="9" ht="41.5" customHeight="1">
      <c r="A9" s="7" t="n">
        <v>8</v>
      </c>
      <c r="B9" s="8" t="inlineStr">
        <is>
          <t>カードタイプ</t>
        </is>
      </c>
      <c r="C9" s="8" t="inlineStr">
        <is>
          <t>反復・再利用</t>
        </is>
      </c>
      <c r="D9" s="9" t="inlineStr">
        <is>
          <t>プレインズウォーカー</t>
        </is>
      </c>
      <c r="E9" s="10" t="inlineStr">
        <is>
          <t>Planeswalker</t>
        </is>
      </c>
      <c r="F9" s="7" t="inlineStr">
        <is>
          <t>306</t>
        </is>
      </c>
      <c r="G9" s="8" t="inlineStr">
        <is>
          <t>忠誠カウンターを増減させて1ターンに1回能力を使う味方の魔法使い。攻撃されると忠誠度を失う。</t>
        </is>
      </c>
      <c r="H9" s="8" t="inlineStr">
        <is>
          <t>ローウィン (2007)</t>
        </is>
      </c>
      <c r="I9" s="8" t="inlineStr">
        <is>
          <t>場に置くサブ司令塔カード。耐久値と能力の使用リソースを兼ね、毎ターン能力を1つ選んで使う。相手は本体とこのカードのどちらを狙うか選べる。能力数と初期値でポイントを算出する。</t>
        </is>
      </c>
      <c r="J9" s="11" t="inlineStr">
        <is>
          <t>中</t>
        </is>
      </c>
      <c r="K9" s="8" t="inlineStr">
        <is>
          <t>盤面・攻撃先選択</t>
        </is>
      </c>
      <c r="L9" s="12" t="inlineStr">
        <is>
          <t>△</t>
        </is>
      </c>
      <c r="M9" s="13" t="inlineStr">
        <is>
          <t>重い。パワーに『ターン開始時』効果を持たせる既存の形で代用可</t>
        </is>
      </c>
    </row>
    <row r="10" ht="45.5" customHeight="1">
      <c r="A10" s="7" t="n">
        <v>9</v>
      </c>
      <c r="B10" s="8" t="inlineStr">
        <is>
          <t>カードタイプ</t>
        </is>
      </c>
      <c r="C10" s="8" t="inlineStr">
        <is>
          <t>ルール基盤</t>
        </is>
      </c>
      <c r="D10" s="9" t="inlineStr">
        <is>
          <t>ソーサリー</t>
        </is>
      </c>
      <c r="E10" s="10" t="inlineStr">
        <is>
          <t>Sorcery</t>
        </is>
      </c>
      <c r="F10" s="7" t="inlineStr">
        <is>
          <t>307</t>
        </is>
      </c>
      <c r="G10" s="8" t="inlineStr">
        <is>
          <t>自分のメイン・フェイズでスタックが空のときだけ唱えられる使い切りの呪文。インスタントより強い効果を持ちやすい。</t>
        </is>
      </c>
      <c r="H10" s="8" t="inlineStr">
        <is>
          <t>アルファ (1993)</t>
        </is>
      </c>
      <c r="I10" s="10" t="inlineStr">
        <is>
          <t>StSの通常のアタック・スキルカードがこれに当たる。自ターン専用である代わりに、割り込み可能なカードより同じポイントで効果量を1〜2割増やすとタイミングの価値差を表現できる。</t>
        </is>
      </c>
      <c r="J10" s="11" t="inlineStr">
        <is>
          <t>高</t>
        </is>
      </c>
      <c r="K10" s="8" t="inlineStr">
        <is>
          <t>なし</t>
        </is>
      </c>
      <c r="L10" s="12" t="inlineStr">
        <is>
          <t>×</t>
        </is>
      </c>
      <c r="M10" s="13" t="inlineStr">
        <is>
          <t>既存：全カードが自ターン専用</t>
        </is>
      </c>
    </row>
    <row r="11" ht="41.5" customHeight="1">
      <c r="A11" s="7" t="n">
        <v>10</v>
      </c>
      <c r="B11" s="8" t="inlineStr">
        <is>
          <t>カードタイプ</t>
        </is>
      </c>
      <c r="C11" s="8" t="inlineStr">
        <is>
          <t>反復・再利用</t>
        </is>
      </c>
      <c r="D11" s="9" t="inlineStr">
        <is>
          <t>ダンジョン</t>
        </is>
      </c>
      <c r="E11" s="10" t="inlineStr">
        <is>
          <t>Dungeon</t>
        </is>
      </c>
      <c r="F11" s="7" t="inlineStr">
        <is>
          <t>309</t>
        </is>
      </c>
      <c r="G11" s="8" t="inlineStr">
        <is>
          <t>ゲームの外から統率領域に置き、探索するたび部屋を1つ進んで部屋能力を得る定形外カード。最奥に着くと踏破となる。</t>
        </is>
      </c>
      <c r="H11" s="8" t="inlineStr">
        <is>
          <t>フォーゴトン・レルム探訪 (2021)</t>
        </is>
      </c>
      <c r="I11" s="8" t="inlineStr">
        <is>
          <t>分岐ルート付きの進行ボードを盤面外に用意し、特定カードで1マス進むたび報酬を得る。踏破回数を参照するカードも作れる。各マスの報酬価値を合算して進行効果のポイントを決める。</t>
        </is>
      </c>
      <c r="J11" s="11" t="inlineStr">
        <is>
          <t>中</t>
        </is>
      </c>
      <c r="K11" s="8" t="inlineStr">
        <is>
          <t>進行トラック・UI</t>
        </is>
      </c>
      <c r="L11" s="12" t="inlineStr">
        <is>
          <t>×</t>
        </is>
      </c>
      <c r="M11" s="13" t="inlineStr">
        <is>
          <t>進行ボードのUIが重く、面白さに対して実装過大</t>
        </is>
      </c>
    </row>
    <row r="12" ht="50" customHeight="1">
      <c r="A12" s="7" t="n">
        <v>11</v>
      </c>
      <c r="B12" s="8" t="inlineStr">
        <is>
          <t>カードタイプ</t>
        </is>
      </c>
      <c r="C12" s="8" t="inlineStr">
        <is>
          <t>多人数・交流</t>
        </is>
      </c>
      <c r="D12" s="9" t="inlineStr">
        <is>
          <t>次元</t>
        </is>
      </c>
      <c r="E12" s="10" t="inlineStr">
        <is>
          <t>Plane</t>
        </is>
      </c>
      <c r="F12" s="7" t="inlineStr">
        <is>
          <t>311</t>
        </is>
      </c>
      <c r="G12" s="8" t="inlineStr">
        <is>
          <t>プレインチェイス戦で使う大判カード。全員に影響する環境効果を持ち、次元ダイスの出目で別の次元へ移る。</t>
        </is>
      </c>
      <c r="H12" s="8" t="inlineStr">
        <is>
          <t>プレインチェイス (2009)</t>
        </is>
      </c>
      <c r="I12" s="8" t="inlineStr">
        <is>
          <t>対戦ごとに無作為に決まるフィールド効果として導入する。全員共通のルール変化をダイスで切り替えれば、オンライン対戦の展開が毎回変わる。カードのポイントには含めない環境枠として扱う。</t>
        </is>
      </c>
      <c r="J12" s="11" t="inlineStr">
        <is>
          <t>中</t>
        </is>
      </c>
      <c r="K12" s="8" t="inlineStr">
        <is>
          <t>共有フィールド枠</t>
        </is>
      </c>
      <c r="L12" s="12" t="inlineStr">
        <is>
          <t>△</t>
        </is>
      </c>
      <c r="M12" s="13" t="inlineStr">
        <is>
          <t>対戦ごとのランダムなフィールド効果（オプション）なら可。カード要素ではない</t>
        </is>
      </c>
    </row>
    <row r="13" ht="41.5" customHeight="1">
      <c r="A13" s="7" t="n">
        <v>12</v>
      </c>
      <c r="B13" s="8" t="inlineStr">
        <is>
          <t>カードタイプ</t>
        </is>
      </c>
      <c r="C13" s="8" t="inlineStr">
        <is>
          <t>多人数・交流</t>
        </is>
      </c>
      <c r="D13" s="9" t="inlineStr">
        <is>
          <t>現象</t>
        </is>
      </c>
      <c r="E13" s="10" t="inlineStr">
        <is>
          <t>Phenomenon</t>
        </is>
      </c>
      <c r="F13" s="7" t="inlineStr">
        <is>
          <t>312</t>
        </is>
      </c>
      <c r="G13" s="8" t="inlineStr">
        <is>
          <t>次元デッキに混ざる一度きりのイベント・カード。公開されると全体に作用する効果を起こし、すぐ次へ移る。</t>
        </is>
      </c>
      <c r="H13" s="8" t="inlineStr">
        <is>
          <t>プレインチェイス2012 (2012)</t>
        </is>
      </c>
      <c r="I13" s="8" t="inlineStr">
        <is>
          <t>フィールド効果の山に混ぜる突発イベント。めくれた瞬間に全員へ1回だけ作用する（全員1枚引くなど）。デジタルなので演出付きで出せ、対戦のマンネリ防止に役立つ。</t>
        </is>
      </c>
      <c r="J13" s="11" t="inlineStr">
        <is>
          <t>中</t>
        </is>
      </c>
      <c r="K13" s="8" t="inlineStr">
        <is>
          <t>共有フィールド枠</t>
        </is>
      </c>
      <c r="L13" s="12" t="inlineStr">
        <is>
          <t>×</t>
        </is>
      </c>
      <c r="M13" s="13" t="inlineStr">
        <is>
          <t>共有の次元デッキ・多人数前提</t>
        </is>
      </c>
    </row>
    <row r="14" ht="45.5" customHeight="1">
      <c r="A14" s="7" t="n">
        <v>13</v>
      </c>
      <c r="B14" s="8" t="inlineStr">
        <is>
          <t>カードタイプ</t>
        </is>
      </c>
      <c r="C14" s="8" t="inlineStr">
        <is>
          <t>多人数・交流</t>
        </is>
      </c>
      <c r="D14" s="9" t="inlineStr">
        <is>
          <t>計略</t>
        </is>
      </c>
      <c r="E14" s="10" t="inlineStr">
        <is>
          <t>Scheme</t>
        </is>
      </c>
      <c r="F14" s="7" t="inlineStr">
        <is>
          <t>314</t>
        </is>
      </c>
      <c r="G14" s="8" t="inlineStr">
        <is>
          <t>アーチエネミー戦でボス役だけが使うカード。ターンごとに計略デッキから1枚公開し、強力な効果で複数の挑戦者に対抗する。</t>
        </is>
      </c>
      <c r="H14" s="8" t="inlineStr">
        <is>
          <t>アーチエネミー (2010)</t>
        </is>
      </c>
      <c r="I14" s="10" t="inlineStr">
        <is>
          <t>CPU戦のボス用行動デッキにそのまま使える。ボスが毎ターン1枚を公開して実行すれば、StSの敵の行動予告と同じく、プレイヤーは次の行動を読んで対策できる。</t>
        </is>
      </c>
      <c r="J14" s="11" t="inlineStr">
        <is>
          <t>高</t>
        </is>
      </c>
      <c r="K14" s="10" t="inlineStr">
        <is>
          <t>CPU戦・ボス行動</t>
        </is>
      </c>
      <c r="L14" s="12" t="inlineStr">
        <is>
          <t>×</t>
        </is>
      </c>
      <c r="M14" s="13" t="inlineStr">
        <is>
          <t>ボス戦モード前提。CPUはデッキで戦う方式</t>
        </is>
      </c>
    </row>
    <row r="15" ht="50" customHeight="1">
      <c r="A15" s="7" t="n">
        <v>14</v>
      </c>
      <c r="B15" s="8" t="inlineStr">
        <is>
          <t>カードタイプ</t>
        </is>
      </c>
      <c r="C15" s="8" t="inlineStr">
        <is>
          <t>デッキ構築</t>
        </is>
      </c>
      <c r="D15" s="9" t="inlineStr">
        <is>
          <t>策略</t>
        </is>
      </c>
      <c r="E15" s="10" t="inlineStr">
        <is>
          <t>Conspiracy</t>
        </is>
      </c>
      <c r="F15" s="7" t="inlineStr">
        <is>
          <t>315</t>
        </is>
      </c>
      <c r="G15" s="8" t="inlineStr">
        <is>
          <t>コンスピラシー・ドラフト用のカード。ゲーム開始時から統率領域で効果を持ち、一部は裏向きで名前を隠しておける。</t>
        </is>
      </c>
      <c r="H15" s="8" t="inlineStr">
        <is>
          <t>コンスピラシー (2014)</t>
        </is>
      </c>
      <c r="I15" s="8" t="inlineStr">
        <is>
          <t>試合前にセットするパッシブ能力カード。裏向きでセットし、条件を満たすと公開される秘密の効果にすれば、オンライン対戦で読み合いが生まれる。デッキのポイント予算とは別枠で上限を設ける。</t>
        </is>
      </c>
      <c r="J15" s="11" t="inlineStr">
        <is>
          <t>中</t>
        </is>
      </c>
      <c r="K15" s="8" t="inlineStr">
        <is>
          <t>試合前設定枠</t>
        </is>
      </c>
      <c r="L15" s="12" t="inlineStr">
        <is>
          <t>×</t>
        </is>
      </c>
      <c r="M15" s="13" t="inlineStr">
        <is>
          <t>ドラフト・試合前の別枠が前提</t>
        </is>
      </c>
    </row>
    <row r="16" ht="41.5" customHeight="1">
      <c r="A16" s="7" t="n">
        <v>15</v>
      </c>
      <c r="B16" s="8" t="inlineStr">
        <is>
          <t>カードタイプ</t>
        </is>
      </c>
      <c r="C16" s="8" t="inlineStr">
        <is>
          <t>デッキ構築</t>
        </is>
      </c>
      <c r="D16" s="9" t="inlineStr">
        <is>
          <t>ヴァンガード</t>
        </is>
      </c>
      <c r="E16" s="10" t="inlineStr">
        <is>
          <t>Vanguard</t>
        </is>
      </c>
      <c r="F16" s="7" t="inlineStr">
        <is>
          <t>313</t>
        </is>
      </c>
      <c r="G16" s="8" t="inlineStr">
        <is>
          <t>開始時から統率領域に置く人物カード。初期手札枚数とライフに補正を与え、固有の能力を持つ。</t>
        </is>
      </c>
      <c r="H16" s="8" t="inlineStr">
        <is>
          <t>アリーナ・リーグ プロモ (1997)</t>
        </is>
      </c>
      <c r="I16" s="10" t="inlineStr">
        <is>
          <t>StSのキャラクター選択に相当するリーダーカード。初期HPや手札の補正と固有パッシブを持たせ、補正の大きさをデッキ側のポイント予算と相殺させると自由度と均衡を両立できる。</t>
        </is>
      </c>
      <c r="J16" s="11" t="inlineStr">
        <is>
          <t>高</t>
        </is>
      </c>
      <c r="K16" s="8" t="inlineStr">
        <is>
          <t>キャラ選択</t>
        </is>
      </c>
      <c r="L16" s="12" t="inlineStr">
        <is>
          <t>△</t>
        </is>
      </c>
      <c r="M16" s="13" t="inlineStr">
        <is>
          <t>リーダー選択（初期HP・手札補正）は別システム。将来のモード候補</t>
        </is>
      </c>
    </row>
    <row r="17" ht="41.5" customHeight="1">
      <c r="A17" s="7" t="n">
        <v>16</v>
      </c>
      <c r="B17" s="8" t="inlineStr">
        <is>
          <t>特殊タイプ</t>
        </is>
      </c>
      <c r="C17" s="8" t="inlineStr">
        <is>
          <t>デッキ構築</t>
        </is>
      </c>
      <c r="D17" s="9" t="inlineStr">
        <is>
          <t>基本</t>
        </is>
      </c>
      <c r="E17" s="10" t="inlineStr">
        <is>
          <t>Basic</t>
        </is>
      </c>
      <c r="F17" s="7" t="inlineStr">
        <is>
          <t>205.4c</t>
        </is>
      </c>
      <c r="G17" s="8" t="inlineStr">
        <is>
          <t>基本土地であることを示す特殊タイプ。基本土地はデッキに何枚でも入れられ、多くのカードが参照する。</t>
        </is>
      </c>
      <c r="H17" s="8" t="inlineStr">
        <is>
          <t>アルファ (1993)</t>
        </is>
      </c>
      <c r="I17" s="8" t="inlineStr">
        <is>
          <t>枚数制限なしの基礎カードを示すフラグに使う。基本カードはポイント0固定で強化不可とすれば、デッキの土台とカスタム枠がはっきり分かれる。</t>
        </is>
      </c>
      <c r="J17" s="11" t="inlineStr">
        <is>
          <t>高</t>
        </is>
      </c>
      <c r="K17" s="8" t="inlineStr">
        <is>
          <t>デッキ構築ルール</t>
        </is>
      </c>
      <c r="L17" s="12" t="inlineStr">
        <is>
          <t>×</t>
        </is>
      </c>
      <c r="M17" s="13" t="inlineStr">
        <is>
          <t>基本土地前提。既存：ノイズ（効果なしカード）</t>
        </is>
      </c>
    </row>
    <row r="18" ht="45.5" customHeight="1">
      <c r="A18" s="7" t="n">
        <v>17</v>
      </c>
      <c r="B18" s="8" t="inlineStr">
        <is>
          <t>特殊タイプ</t>
        </is>
      </c>
      <c r="C18" s="8" t="inlineStr">
        <is>
          <t>デッキ構築</t>
        </is>
      </c>
      <c r="D18" s="9" t="inlineStr">
        <is>
          <t>伝説の</t>
        </is>
      </c>
      <c r="E18" s="10" t="inlineStr">
        <is>
          <t>Legendary</t>
        </is>
      </c>
      <c r="F18" s="7" t="inlineStr">
        <is>
          <t>205.4d</t>
        </is>
      </c>
      <c r="G18" s="8" t="inlineStr">
        <is>
          <t>同じプレイヤーが同名のものを2つ以上持てない特殊タイプ。伝説の呪文は伝説のクリーチャーかPWがいるときだけ唱えられる。</t>
        </is>
      </c>
      <c r="H18" s="8" t="inlineStr">
        <is>
          <t>レジェンド (1994)</t>
        </is>
      </c>
      <c r="I18" s="8" t="inlineStr">
        <is>
          <t>強力なユニークカードに付けるフラグ。場に同名1枚までとすれば重ね引きがリスクになるため、その分ポイントを割り引ける。デッキ1枚制限と組み合わせても良い。</t>
        </is>
      </c>
      <c r="J18" s="11" t="inlineStr">
        <is>
          <t>高</t>
        </is>
      </c>
      <c r="K18" s="8" t="inlineStr">
        <is>
          <t>なし</t>
        </is>
      </c>
      <c r="L18" s="12" t="inlineStr">
        <is>
          <t>◎</t>
        </is>
      </c>
      <c r="M18" s="13" t="inlineStr">
        <is>
          <t>【今回実装：デメリット『伝説』（`legendary`・バッチA）】（審査時は○）デメリット『伝説』：自分の場に同名モンスターがいると召喚できない。-2pt 目安</t>
        </is>
      </c>
    </row>
    <row r="19" ht="37.5" customHeight="1">
      <c r="A19" s="7" t="n">
        <v>18</v>
      </c>
      <c r="B19" s="8" t="inlineStr">
        <is>
          <t>特殊タイプ</t>
        </is>
      </c>
      <c r="C19" s="8" t="inlineStr">
        <is>
          <t>条件ボーナス</t>
        </is>
      </c>
      <c r="D19" s="9" t="inlineStr">
        <is>
          <t>氷雪</t>
        </is>
      </c>
      <c r="E19" s="10" t="inlineStr">
        <is>
          <t>Snow</t>
        </is>
      </c>
      <c r="F19" s="7" t="inlineStr">
        <is>
          <t>205.4g</t>
        </is>
      </c>
      <c r="G19" s="8" t="inlineStr">
        <is>
          <t>氷雪のパーマネントであることを示す特殊タイプ。氷雪の土地から出るマナや氷雪の数を参照するカードとシナジーを作る。</t>
        </is>
      </c>
      <c r="H19" s="8" t="inlineStr">
        <is>
          <t>アイスエイジ (1995)</t>
        </is>
      </c>
      <c r="I19" s="8" t="inlineStr">
        <is>
          <t>属性とは別軸のタグとして実装する。氷雪カードから出たエネルギーでしか払えない追加コストを作ると、テーマデッキには強み、他デッキには使いにくさが生まれる。</t>
        </is>
      </c>
      <c r="J19" s="11" t="inlineStr">
        <is>
          <t>高</t>
        </is>
      </c>
      <c r="K19" s="8" t="inlineStr">
        <is>
          <t>タグシステム</t>
        </is>
      </c>
      <c r="L19" s="12" t="inlineStr">
        <is>
          <t>×</t>
        </is>
      </c>
      <c r="M19" s="13" t="inlineStr">
        <is>
          <t>氷雪マナ前提</t>
        </is>
      </c>
    </row>
    <row r="20" ht="54" customHeight="1">
      <c r="A20" s="7" t="n">
        <v>19</v>
      </c>
      <c r="B20" s="8" t="inlineStr">
        <is>
          <t>特殊タイプ</t>
        </is>
      </c>
      <c r="C20" s="8" t="inlineStr">
        <is>
          <t>多人数・交流</t>
        </is>
      </c>
      <c r="D20" s="9" t="inlineStr">
        <is>
          <t>ワールド</t>
        </is>
      </c>
      <c r="E20" s="10" t="inlineStr">
        <is>
          <t>World</t>
        </is>
      </c>
      <c r="F20" s="7" t="inlineStr">
        <is>
          <t>205.4f</t>
        </is>
      </c>
      <c r="G20" s="8" t="inlineStr">
        <is>
          <t>ワールドのパーマネントは戦場に1つしか存在できず、新しいものが出ると古いものが墓地に置かれる。</t>
        </is>
      </c>
      <c r="H20" s="8" t="inlineStr">
        <is>
          <t>レジェンド (1994)</t>
        </is>
      </c>
      <c r="I20" s="8" t="inlineStr">
        <is>
          <t>両者共通のフィールド魔法枠。場に1枚だけ存在し、後から出した側が上書きする。上書き合戦がオンライン対戦の駆け引きになる。全員に効く効果なので、自分有利の偏りに応じてポイントを決める。</t>
        </is>
      </c>
      <c r="J20" s="11" t="inlineStr">
        <is>
          <t>高</t>
        </is>
      </c>
      <c r="K20" s="8" t="inlineStr">
        <is>
          <t>共有フィールド枠</t>
        </is>
      </c>
      <c r="L20" s="12" t="inlineStr">
        <is>
          <t>△</t>
        </is>
      </c>
      <c r="M20" s="13" t="inlineStr">
        <is>
          <t>両者共通のフィールド枠（場に1枚、上書き）。新ゾーンが要るので後回し</t>
        </is>
      </c>
    </row>
    <row r="21" ht="45.5" customHeight="1">
      <c r="A21" s="7" t="n">
        <v>20</v>
      </c>
      <c r="B21" s="8" t="inlineStr">
        <is>
          <t>特殊タイプ</t>
        </is>
      </c>
      <c r="C21" s="8" t="inlineStr">
        <is>
          <t>その他</t>
        </is>
      </c>
      <c r="D21" s="9" t="inlineStr">
        <is>
          <t>持続</t>
        </is>
      </c>
      <c r="E21" s="10" t="inlineStr">
        <is>
          <t>Ongoing</t>
        </is>
      </c>
      <c r="F21" s="7" t="inlineStr">
        <is>
          <t>205.4h</t>
        </is>
      </c>
      <c r="G21" s="8" t="inlineStr">
        <is>
          <t>計略に付く特殊タイプ。通常の計略は使い切りだが、持続の計略は条件を満たして破棄されるまで表向きで残る。</t>
        </is>
      </c>
      <c r="H21" s="8" t="inlineStr">
        <is>
          <t>アーチエネミー (2010)</t>
        </is>
      </c>
      <c r="I21" s="8" t="inlineStr">
        <is>
          <t>ボス行動デッキに持続型の行動を混ぜる。ボスに10ダメージを与えるまで続く呪縛のような効果にすると、CPU戦に明確な攻略目標が生まれる。</t>
        </is>
      </c>
      <c r="J21" s="11" t="inlineStr">
        <is>
          <t>中</t>
        </is>
      </c>
      <c r="K21" s="10" t="inlineStr">
        <is>
          <t>CPU戦・ボス行動</t>
        </is>
      </c>
      <c r="L21" s="12" t="inlineStr">
        <is>
          <t>×</t>
        </is>
      </c>
      <c r="M21" s="13" t="inlineStr">
        <is>
          <t>ボス行動デッキ前提</t>
        </is>
      </c>
    </row>
    <row r="22" ht="37.5" customHeight="1">
      <c r="A22" s="7" t="n">
        <v>21</v>
      </c>
      <c r="B22" s="8" t="inlineStr">
        <is>
          <t>サブタイプ</t>
        </is>
      </c>
      <c r="C22" s="8" t="inlineStr">
        <is>
          <t>強化</t>
        </is>
      </c>
      <c r="D22" s="9" t="inlineStr">
        <is>
          <t>装備品</t>
        </is>
      </c>
      <c r="E22" s="10" t="inlineStr">
        <is>
          <t>Equipment</t>
        </is>
      </c>
      <c r="F22" s="7" t="inlineStr">
        <is>
          <t>301.5</t>
        </is>
      </c>
      <c r="G22" s="8" t="inlineStr">
        <is>
          <t>クリーチャーにつけて強化するアーティファクト。装備コストで付け替えられ、クリーチャーが死んでも場に残る。</t>
        </is>
      </c>
      <c r="H22" s="8" t="inlineStr">
        <is>
          <t>ミラディン (2003)</t>
        </is>
      </c>
      <c r="I22" s="8" t="inlineStr">
        <is>
          <t>ユニットや本体に装着する装備カード。付け替えコストを設定し、装備先が倒れても残るため長期的な価値が高い。強化量と付け替えコストの安さからポイントを算出する。</t>
        </is>
      </c>
      <c r="J22" s="11" t="inlineStr">
        <is>
          <t>中</t>
        </is>
      </c>
      <c r="K22" s="8" t="inlineStr">
        <is>
          <t>ユニット・装着管理</t>
        </is>
      </c>
      <c r="L22" s="12" t="inlineStr">
        <is>
          <t>◎</t>
        </is>
      </c>
      <c r="M22" s="13" t="inlineStr">
        <is>
          <t>【今回実装：効果『装備』（`equip`・バッチB）】（審査時は○）効果『装備』：モンスター1体の攻撃力+N、そのモンスターが破壊されたらこのカードを手札に戻す。攻撃力1あたり3pt</t>
        </is>
      </c>
    </row>
    <row r="23" ht="37.5" customHeight="1">
      <c r="A23" s="7" t="n">
        <v>22</v>
      </c>
      <c r="B23" s="8" t="inlineStr">
        <is>
          <t>サブタイプ</t>
        </is>
      </c>
      <c r="C23" s="8" t="inlineStr">
        <is>
          <t>コスト・リソース</t>
        </is>
      </c>
      <c r="D23" s="9" t="inlineStr">
        <is>
          <t>城砦</t>
        </is>
      </c>
      <c r="E23" s="10" t="inlineStr">
        <is>
          <t>Fortification</t>
        </is>
      </c>
      <c r="F23" s="7" t="inlineStr">
        <is>
          <t>301.6</t>
        </is>
      </c>
      <c r="G23" s="8" t="inlineStr">
        <is>
          <t>土地につけるアーティファクト。装備品の土地版で、城砦化のコストを払って付け替える。</t>
        </is>
      </c>
      <c r="H23" s="8" t="inlineStr">
        <is>
          <t>未来予知 (2007)</t>
        </is>
      </c>
      <c r="I23" s="8" t="inlineStr">
        <is>
          <t>資源カードに装着する強化。装着した資源から追加エネルギーが出るなど経済面を伸ばす。対象が攻撃されにくい分、効果量は控えめにしてポイント単価を低めにする。</t>
        </is>
      </c>
      <c r="J23" s="11" t="inlineStr">
        <is>
          <t>中</t>
        </is>
      </c>
      <c r="K23" s="8" t="inlineStr">
        <is>
          <t>資源カード・装着</t>
        </is>
      </c>
      <c r="L23" s="12" t="inlineStr">
        <is>
          <t>×</t>
        </is>
      </c>
      <c r="M23" s="13" t="inlineStr">
        <is>
          <t>土地前提</t>
        </is>
      </c>
    </row>
    <row r="24" ht="41.5" customHeight="1">
      <c r="A24" s="7" t="n">
        <v>23</v>
      </c>
      <c r="B24" s="8" t="inlineStr">
        <is>
          <t>サブタイプ</t>
        </is>
      </c>
      <c r="C24" s="8" t="inlineStr">
        <is>
          <t>攻撃</t>
        </is>
      </c>
      <c r="D24" s="9" t="inlineStr">
        <is>
          <t>機体</t>
        </is>
      </c>
      <c r="E24" s="10" t="inlineStr">
        <is>
          <t>Vehicle</t>
        </is>
      </c>
      <c r="F24" s="7" t="inlineStr">
        <is>
          <t>301.7</t>
        </is>
      </c>
      <c r="G24" s="8" t="inlineStr">
        <is>
          <t>搭乗としてクリーチャーをタップすると、そのターンだけクリーチャーになるアーティファクト。</t>
        </is>
      </c>
      <c r="H24" s="8" t="inlineStr">
        <is>
          <t>カラデシュ (2016)</t>
        </is>
      </c>
      <c r="I24" s="8" t="inlineStr">
        <is>
          <t>他ユニットの行動権を消費して動かす大型兵器。StS型なら手札1枚を捨てて起動する形にも置き換えられる。普段は除去されにくい利点を、重い起動条件で相殺してポイントを決める。</t>
        </is>
      </c>
      <c r="J24" s="11" t="inlineStr">
        <is>
          <t>中</t>
        </is>
      </c>
      <c r="K24" s="8" t="inlineStr">
        <is>
          <t>ユニット・行動権</t>
        </is>
      </c>
      <c r="L24" s="12" t="inlineStr">
        <is>
          <t>×</t>
        </is>
      </c>
      <c r="M24" s="13" t="inlineStr">
        <is>
          <t>搭乗（タップ）前提で重い</t>
        </is>
      </c>
    </row>
    <row r="25" ht="37.5" customHeight="1">
      <c r="A25" s="7" t="n">
        <v>24</v>
      </c>
      <c r="B25" s="8" t="inlineStr">
        <is>
          <t>サブタイプ</t>
        </is>
      </c>
      <c r="C25" s="8" t="inlineStr">
        <is>
          <t>成長・カウンター</t>
        </is>
      </c>
      <c r="D25" s="9" t="inlineStr">
        <is>
          <t>宇宙船</t>
        </is>
      </c>
      <c r="E25" s="10" t="inlineStr">
        <is>
          <t>Spacecraft</t>
        </is>
      </c>
      <c r="F25" s="7" t="inlineStr">
        <is>
          <t>721</t>
        </is>
      </c>
      <c r="G25" s="8" t="inlineStr">
        <is>
          <t>配備で他のクリーチャーのパワー分の蓄積カウンターを溜め、規定数を超えると飛行を持つクリーチャーなどになるアーティファクト。</t>
        </is>
      </c>
      <c r="H25" s="8" t="inlineStr">
        <is>
          <t>久遠の終端 (2025)</t>
        </is>
      </c>
      <c r="I25" s="8" t="inlineStr">
        <is>
          <t>他ユニットの攻撃力を燃料として注ぎ込み、閾値ごとに能力が開放される成長型カード。進捗バーで可視化でき、段階数と最終形の強さでポイントを配分する。</t>
        </is>
      </c>
      <c r="J25" s="11" t="inlineStr">
        <is>
          <t>中</t>
        </is>
      </c>
      <c r="K25" s="8" t="inlineStr">
        <is>
          <t>カウンター・閾値</t>
        </is>
      </c>
      <c r="L25" s="12" t="inlineStr">
        <is>
          <t>×</t>
        </is>
      </c>
      <c r="M25" s="13" t="inlineStr">
        <is>
          <t>蓄積カウンター＋他ユニットのタップ前提で重い</t>
        </is>
      </c>
    </row>
    <row r="26" ht="58" customHeight="1">
      <c r="A26" s="7" t="n">
        <v>25</v>
      </c>
      <c r="B26" s="8" t="inlineStr">
        <is>
          <t>サブタイプ</t>
        </is>
      </c>
      <c r="C26" s="8" t="inlineStr">
        <is>
          <t>反復・再利用</t>
        </is>
      </c>
      <c r="D26" s="9" t="inlineStr">
        <is>
          <t>からくり</t>
        </is>
      </c>
      <c r="E26" s="10" t="inlineStr">
        <is>
          <t>Contraption</t>
        </is>
      </c>
      <c r="F26" s="7" t="n"/>
      <c r="G26" s="8" t="inlineStr">
        <is>
          <t>アン・セット専用。別デッキから組み立てて3つの起動輪に置き、毎ターン回る発動！カウンターと一致した輪のものを発動する。</t>
        </is>
      </c>
      <c r="H26" s="10" t="inlineStr">
        <is>
          <t>Unstable (2017)</t>
        </is>
      </c>
      <c r="I26" s="8" t="inlineStr">
        <is>
          <t>本デッキとは別の小デッキから出る装置を3レーンに置き、ターンごとに順番にレーンが起動する仕組み。周期的な効果の可視化はデジタル向き。起動周期を考え、効果量の3分の1程度で評価する。</t>
        </is>
      </c>
      <c r="J26" s="11" t="inlineStr">
        <is>
          <t>中</t>
        </is>
      </c>
      <c r="K26" s="8" t="inlineStr">
        <is>
          <t>別デッキ・レーン管理</t>
        </is>
      </c>
      <c r="L26" s="12" t="inlineStr">
        <is>
          <t>×</t>
        </is>
      </c>
      <c r="M26" s="13" t="inlineStr">
        <is>
          <t>アン・セット専用・別デッキ前提</t>
        </is>
      </c>
    </row>
    <row r="27" ht="41.5" customHeight="1">
      <c r="A27" s="7" t="n">
        <v>26</v>
      </c>
      <c r="B27" s="8" t="inlineStr">
        <is>
          <t>サブタイプ</t>
        </is>
      </c>
      <c r="C27" s="8" t="inlineStr">
        <is>
          <t>その他</t>
        </is>
      </c>
      <c r="D27" s="9" t="inlineStr">
        <is>
          <t>アトラクション</t>
        </is>
      </c>
      <c r="E27" s="10" t="inlineStr">
        <is>
          <t>Attraction</t>
        </is>
      </c>
      <c r="F27" s="7" t="inlineStr">
        <is>
          <t>717</t>
        </is>
      </c>
      <c r="G27" s="8" t="inlineStr">
        <is>
          <t>専用のアトラクション・デッキから開いて戦場に出し、毎ターンのダイスの出目が点灯している数字と一致すると効果が出る。</t>
        </is>
      </c>
      <c r="H27" s="10" t="inlineStr">
        <is>
          <t>Unfinity (2022)</t>
        </is>
      </c>
      <c r="I27" s="8" t="inlineStr">
        <is>
          <t>別デッキから出る施設カードに当たり目を設定し、毎ターン自動ダイスで当たれば発動する。当たり目の数で期待値が決まるので、ポイントは効果量×当たり確率で計算できる。</t>
        </is>
      </c>
      <c r="J27" s="11" t="inlineStr">
        <is>
          <t>中</t>
        </is>
      </c>
      <c r="K27" s="8" t="inlineStr">
        <is>
          <t>別デッキ・乱数</t>
        </is>
      </c>
      <c r="L27" s="12" t="inlineStr">
        <is>
          <t>×</t>
        </is>
      </c>
      <c r="M27" s="13" t="inlineStr">
        <is>
          <t>別デッキ・ダイス前提</t>
        </is>
      </c>
    </row>
    <row r="28" ht="37.5" customHeight="1">
      <c r="A28" s="7" t="n">
        <v>27</v>
      </c>
      <c r="B28" s="8" t="inlineStr">
        <is>
          <t>サブタイプ</t>
        </is>
      </c>
      <c r="C28" s="8" t="inlineStr">
        <is>
          <t>ドロー・手札</t>
        </is>
      </c>
      <c r="D28" s="9" t="inlineStr">
        <is>
          <t>本</t>
        </is>
      </c>
      <c r="E28" s="10" t="inlineStr">
        <is>
          <t>Book</t>
        </is>
      </c>
      <c r="F28" s="7" t="inlineStr">
        <is>
          <t>205.3g</t>
        </is>
      </c>
      <c r="G28" s="8" t="inlineStr">
        <is>
          <t>ストリクスヘイヴンの秘密で新設されたアーティファクト・タイプ。固有ルールはなく、ドロー能力を持つものが多い。</t>
        </is>
      </c>
      <c r="H28" s="8" t="inlineStr">
        <is>
          <t>ストリクスヘイヴンの秘密 (2026)</t>
        </is>
      </c>
      <c r="I28" s="8" t="inlineStr">
        <is>
          <t>ドロー系の装置に付けるタグ。本の枚数を数えるカードと組めばテーマデッキの軸になる。タグ自体は無料とし、参照する側のカードにポイントを持たせる。</t>
        </is>
      </c>
      <c r="J28" s="11" t="inlineStr">
        <is>
          <t>高</t>
        </is>
      </c>
      <c r="K28" s="8" t="inlineStr">
        <is>
          <t>タグシステム</t>
        </is>
      </c>
      <c r="L28" s="12" t="inlineStr">
        <is>
          <t>×</t>
        </is>
      </c>
      <c r="M28" s="13" t="inlineStr">
        <is>
          <t>効果の無いタグのみ</t>
        </is>
      </c>
    </row>
    <row r="29" ht="41.5" customHeight="1">
      <c r="A29" s="7" t="n">
        <v>28</v>
      </c>
      <c r="B29" s="8" t="inlineStr">
        <is>
          <t>サブタイプ</t>
        </is>
      </c>
      <c r="C29" s="8" t="inlineStr">
        <is>
          <t>条件ボーナス</t>
        </is>
      </c>
      <c r="D29" s="9" t="inlineStr">
        <is>
          <t>ボブルヘッド</t>
        </is>
      </c>
      <c r="E29" s="10" t="inlineStr">
        <is>
          <t>Bobblehead</t>
        </is>
      </c>
      <c r="F29" s="7" t="inlineStr">
        <is>
          <t>205.3g</t>
        </is>
      </c>
      <c r="G29" s="10" t="inlineStr">
        <is>
          <t>Fallout統率者デッキで登場したアーティファクト・タイプ。主にマナを出し、ボブルヘッドの数を数えるカードで強くなる。</t>
        </is>
      </c>
      <c r="H29" s="10" t="inlineStr">
        <is>
          <t>Fallout (2024)</t>
        </is>
      </c>
      <c r="I29" s="8" t="inlineStr">
        <is>
          <t>小型の収集品カードを集めるほど効果が伸びるコレクション系タグ。1枚では弱く、所持数を参照するカードで化ける。数を数える効果のポイント係数を別に定めておく。</t>
        </is>
      </c>
      <c r="J29" s="11" t="inlineStr">
        <is>
          <t>高</t>
        </is>
      </c>
      <c r="K29" s="8" t="inlineStr">
        <is>
          <t>タグシステム</t>
        </is>
      </c>
      <c r="L29" s="12" t="inlineStr">
        <is>
          <t>×</t>
        </is>
      </c>
      <c r="M29" s="13" t="inlineStr">
        <is>
          <t>マナ・タグ前提</t>
        </is>
      </c>
    </row>
    <row r="30" ht="37.5" customHeight="1">
      <c r="A30" s="7" t="n">
        <v>29</v>
      </c>
      <c r="B30" s="8" t="inlineStr">
        <is>
          <t>サブタイプ</t>
        </is>
      </c>
      <c r="C30" s="8" t="inlineStr">
        <is>
          <t>条件ボーナス</t>
        </is>
      </c>
      <c r="D30" s="9" t="inlineStr">
        <is>
          <t>インフィニティ</t>
        </is>
      </c>
      <c r="E30" s="10" t="inlineStr">
        <is>
          <t>Infinity</t>
        </is>
      </c>
      <c r="F30" s="7" t="inlineStr">
        <is>
          <t>205.3g</t>
        </is>
      </c>
      <c r="G30" s="8" t="inlineStr">
        <is>
          <t>インフィニティ・ストーンを表すアーティファクト・タイプ。伝説の破壊不能な装置で、装着すると強力な∞能力が働く。</t>
        </is>
      </c>
      <c r="H30" s="8" t="inlineStr">
        <is>
          <t>マーベル スパイダーマン (2025)</t>
        </is>
      </c>
      <c r="I30" s="8" t="inlineStr">
        <is>
          <t>一定の手順で装着すると隠し能力が開放される特別枠のカード。最高レアリティ専用の演出として使い、開放前後の効果を別々にポイント化する。</t>
        </is>
      </c>
      <c r="J30" s="11" t="inlineStr">
        <is>
          <t>中</t>
        </is>
      </c>
      <c r="K30" s="8" t="inlineStr">
        <is>
          <t>状態フラグ</t>
        </is>
      </c>
      <c r="L30" s="12" t="inlineStr">
        <is>
          <t>×</t>
        </is>
      </c>
      <c r="M30" s="13" t="inlineStr">
        <is>
          <t>装着手順の特殊枠。重い</t>
        </is>
      </c>
    </row>
    <row r="31" ht="37.5" customHeight="1">
      <c r="A31" s="7" t="n">
        <v>30</v>
      </c>
      <c r="B31" s="8" t="inlineStr">
        <is>
          <t>サブタイプ</t>
        </is>
      </c>
      <c r="C31" s="8" t="inlineStr">
        <is>
          <t>強化</t>
        </is>
      </c>
      <c r="D31" s="9" t="inlineStr">
        <is>
          <t>オーラ</t>
        </is>
      </c>
      <c r="E31" s="10" t="inlineStr">
        <is>
          <t>Aura</t>
        </is>
      </c>
      <c r="F31" s="7" t="inlineStr">
        <is>
          <t>303.4</t>
        </is>
      </c>
      <c r="G31" s="8" t="inlineStr">
        <is>
          <t>パーマネントやプレイヤーにつけて効果を与えるエンチャント。つけ先がなくなると墓地へ置かれる。</t>
        </is>
      </c>
      <c r="H31" s="8" t="inlineStr">
        <is>
          <t>アルファ (1993)</t>
        </is>
      </c>
      <c r="I31" s="8" t="inlineStr">
        <is>
          <t>敵味方どちらにも貼れる付与カード。味方の強化にも相手の弱体化にも使える。つけ先が倒れると一緒に消えるリスクがあるため、装備型よりポイントを安くする。</t>
        </is>
      </c>
      <c r="J31" s="11" t="inlineStr">
        <is>
          <t>中</t>
        </is>
      </c>
      <c r="K31" s="8" t="inlineStr">
        <is>
          <t>装着管理</t>
        </is>
      </c>
      <c r="L31" s="12" t="inlineStr">
        <is>
          <t>×</t>
        </is>
      </c>
      <c r="M31" s="13" t="inlineStr">
        <is>
          <t>既存：攻撃力アップ／弱化／守備力アップ（永続付与）</t>
        </is>
      </c>
    </row>
    <row r="32" ht="37.5" customHeight="1">
      <c r="A32" s="7" t="n">
        <v>31</v>
      </c>
      <c r="B32" s="8" t="inlineStr">
        <is>
          <t>サブタイプ</t>
        </is>
      </c>
      <c r="C32" s="8" t="inlineStr">
        <is>
          <t>妨害</t>
        </is>
      </c>
      <c r="D32" s="9" t="inlineStr">
        <is>
          <t>呪い</t>
        </is>
      </c>
      <c r="E32" s="10" t="inlineStr">
        <is>
          <t>Curse</t>
        </is>
      </c>
      <c r="F32" s="7" t="inlineStr">
        <is>
          <t>205.3h</t>
        </is>
      </c>
      <c r="G32" s="8" t="inlineStr">
        <is>
          <t>プレイヤーにつけるオーラのサブタイプ。対戦相手に貼り付いて継続的な不利益を与える。</t>
        </is>
      </c>
      <c r="H32" s="8" t="inlineStr">
        <is>
          <t>イニストラード (2011)</t>
        </is>
      </c>
      <c r="I32" s="8" t="inlineStr">
        <is>
          <t>ユーザーのゲームの呪いカードと相性が良い。山札に混ぜる呪いとは別に、相手本体に貼り付いて毎ターン不利益を与える呪縛タイプを作り、解除手段もセットで用意する。</t>
        </is>
      </c>
      <c r="J32" s="11" t="inlineStr">
        <is>
          <t>高</t>
        </is>
      </c>
      <c r="K32" s="8" t="inlineStr">
        <is>
          <t>状態異常枠</t>
        </is>
      </c>
      <c r="L32" s="12" t="inlineStr">
        <is>
          <t>◎</t>
        </is>
      </c>
      <c r="M32" s="13" t="inlineStr">
        <is>
          <t>【今回実装：呪縛】今回実装 効果『呪縛』doom：相手に減らない継続ダメージ（相手のターン開始時。浄化で消える）</t>
        </is>
      </c>
    </row>
    <row r="33" ht="41.5" customHeight="1">
      <c r="A33" s="7" t="n">
        <v>32</v>
      </c>
      <c r="B33" s="8" t="inlineStr">
        <is>
          <t>サブタイプ</t>
        </is>
      </c>
      <c r="C33" s="8" t="inlineStr">
        <is>
          <t>デッキ構築</t>
        </is>
      </c>
      <c r="D33" s="9" t="inlineStr">
        <is>
          <t>背景</t>
        </is>
      </c>
      <c r="E33" s="10" t="inlineStr">
        <is>
          <t>Background</t>
        </is>
      </c>
      <c r="F33" s="7" t="inlineStr">
        <is>
          <t>205.3h</t>
        </is>
      </c>
      <c r="G33" s="8" t="inlineStr">
        <is>
          <t>伝説のエンチャントのサブタイプ。背景選択を持つ統率者と組んで2枚目の統率者になり、統率者を強化する。</t>
        </is>
      </c>
      <c r="H33" s="8" t="inlineStr">
        <is>
          <t>統率者レジェンズ：バルダーズ・ゲートの戦い (2022)</t>
        </is>
      </c>
      <c r="I33" s="8" t="inlineStr">
        <is>
          <t>リーダーカードと組み合わせる出自カード。リーダーと出自の2枚選択制にすると組み合わせで戦い方が変わる。出自は控えめな常時効果に限定し、ポイント上限を設ける。</t>
        </is>
      </c>
      <c r="J33" s="11" t="inlineStr">
        <is>
          <t>高</t>
        </is>
      </c>
      <c r="K33" s="8" t="inlineStr">
        <is>
          <t>キャラ選択</t>
        </is>
      </c>
      <c r="L33" s="12" t="inlineStr">
        <is>
          <t>×</t>
        </is>
      </c>
      <c r="M33" s="13" t="inlineStr">
        <is>
          <t>統率者前提</t>
        </is>
      </c>
    </row>
    <row r="34" ht="45.5" customHeight="1">
      <c r="A34" s="7" t="n">
        <v>33</v>
      </c>
      <c r="B34" s="8" t="inlineStr">
        <is>
          <t>サブタイプ</t>
        </is>
      </c>
      <c r="C34" s="8" t="inlineStr">
        <is>
          <t>条件ボーナス</t>
        </is>
      </c>
      <c r="D34" s="9" t="inlineStr">
        <is>
          <t>祭殿</t>
        </is>
      </c>
      <c r="E34" s="10" t="inlineStr">
        <is>
          <t>Shrine</t>
        </is>
      </c>
      <c r="F34" s="7" t="inlineStr">
        <is>
          <t>205.3h</t>
        </is>
      </c>
      <c r="G34" s="8" t="inlineStr">
        <is>
          <t>祭殿の数を参照して効果が大きくなるエンチャント。神河物語で登場し、後に伝説の祭殿サイクルが作られた。</t>
        </is>
      </c>
      <c r="H34" s="8" t="inlineStr">
        <is>
          <t>神河物語 (2004)</t>
        </is>
      </c>
      <c r="I34" s="8" t="inlineStr">
        <is>
          <t>同じタグのカードを並べるほど1枚ごとの効果が伸びる仕組み。3枚並ぶと効果が数倍になるため、1枚目単体は弱く設定してポイントを抑える。</t>
        </is>
      </c>
      <c r="J34" s="11" t="inlineStr">
        <is>
          <t>高</t>
        </is>
      </c>
      <c r="K34" s="8" t="inlineStr">
        <is>
          <t>タグ参照</t>
        </is>
      </c>
      <c r="L34" s="12" t="inlineStr">
        <is>
          <t>◎</t>
        </is>
      </c>
      <c r="M34" s="13" t="inlineStr">
        <is>
          <t>【今回実装：自分のパワーが2つ以上】今回実装 条件『自分のパワーが2つ以上』twoPowers</t>
        </is>
      </c>
    </row>
    <row r="35" ht="37.5" customHeight="1">
      <c r="A35" s="7" t="n">
        <v>34</v>
      </c>
      <c r="B35" s="8" t="inlineStr">
        <is>
          <t>サブタイプ</t>
        </is>
      </c>
      <c r="C35" s="8" t="inlineStr">
        <is>
          <t>強化</t>
        </is>
      </c>
      <c r="D35" s="9" t="inlineStr">
        <is>
          <t>カルトーシュ</t>
        </is>
      </c>
      <c r="E35" s="10" t="inlineStr">
        <is>
          <t>Cartouche</t>
        </is>
      </c>
      <c r="F35" s="7" t="inlineStr">
        <is>
          <t>205.3h</t>
        </is>
      </c>
      <c r="G35" s="8" t="inlineStr">
        <is>
          <t>アモンケットのオーラのサブタイプ。自分のクリーチャーにつけて強化し、試練などカルトーシュを参照する能力を誘発させる。</t>
        </is>
      </c>
      <c r="H35" s="8" t="inlineStr">
        <is>
          <t>アモンケット (2017)</t>
        </is>
      </c>
      <c r="I35" s="8" t="inlineStr">
        <is>
          <t>付与カードを貼るたびに別のカードが誘発する連鎖の起点となるタグ。カルトーシュ型の付与で手札に戻る報酬を用意すると、付与を軸にしたデッキが組める。</t>
        </is>
      </c>
      <c r="J35" s="11" t="inlineStr">
        <is>
          <t>高</t>
        </is>
      </c>
      <c r="K35" s="8" t="inlineStr">
        <is>
          <t>装着・誘発</t>
        </is>
      </c>
      <c r="L35" s="12" t="inlineStr">
        <is>
          <t>×</t>
        </is>
      </c>
      <c r="M35" s="13" t="inlineStr">
        <is>
          <t>オーラ・タグ誘発前提</t>
        </is>
      </c>
    </row>
    <row r="36" ht="41.5" customHeight="1">
      <c r="A36" s="7" t="n">
        <v>35</v>
      </c>
      <c r="B36" s="8" t="inlineStr">
        <is>
          <t>サブタイプ</t>
        </is>
      </c>
      <c r="C36" s="8" t="inlineStr">
        <is>
          <t>強化</t>
        </is>
      </c>
      <c r="D36" s="9" t="inlineStr">
        <is>
          <t>ルーン</t>
        </is>
      </c>
      <c r="E36" s="10" t="inlineStr">
        <is>
          <t>Rune</t>
        </is>
      </c>
      <c r="F36" s="7" t="inlineStr">
        <is>
          <t>205.3h</t>
        </is>
      </c>
      <c r="G36" s="8" t="inlineStr">
        <is>
          <t>カルドハイムのオーラのサブタイプ。パーマネントにつき、出たときにカードを1枚引く。装備品につけると装備先に能力を与える。</t>
        </is>
      </c>
      <c r="H36" s="8" t="inlineStr">
        <is>
          <t>カルドハイム (2021)</t>
        </is>
      </c>
      <c r="I36" s="8" t="inlineStr">
        <is>
          <t>ユニットにも装備にも貼れる付与で、貼った時点で1枚引ける。損をしにくいのでポイント単価は通常の付与よりやや高めにする。</t>
        </is>
      </c>
      <c r="J36" s="11" t="inlineStr">
        <is>
          <t>高</t>
        </is>
      </c>
      <c r="K36" s="8" t="inlineStr">
        <is>
          <t>装着管理</t>
        </is>
      </c>
      <c r="L36" s="12" t="inlineStr">
        <is>
          <t>×</t>
        </is>
      </c>
      <c r="M36" s="13" t="inlineStr">
        <is>
          <t>既存：攻撃力アップ＋ドローの組み合わせで作れる</t>
        </is>
      </c>
    </row>
    <row r="37" ht="37.5" customHeight="1">
      <c r="A37" s="7" t="n">
        <v>36</v>
      </c>
      <c r="B37" s="8" t="inlineStr">
        <is>
          <t>サブタイプ</t>
        </is>
      </c>
      <c r="C37" s="8" t="inlineStr">
        <is>
          <t>成長・カウンター</t>
        </is>
      </c>
      <c r="D37" s="9" t="inlineStr">
        <is>
          <t>プラン</t>
        </is>
      </c>
      <c r="E37" s="10" t="inlineStr">
        <is>
          <t>Plan</t>
        </is>
      </c>
      <c r="F37" s="7" t="inlineStr">
        <is>
          <t>205.3h</t>
        </is>
      </c>
      <c r="G37" s="8" t="inlineStr">
        <is>
          <t>条件を満たすたびにプラン・カウンターが置かれ、規定数に達すると生け贄に捧げて大きな効果を起こすエンチャント。</t>
        </is>
      </c>
      <c r="H37" s="8" t="inlineStr">
        <is>
          <t>マーベル スーパー・ヒーローズ (2026)</t>
        </is>
      </c>
      <c r="I37" s="8" t="inlineStr">
        <is>
          <t>悪役の陰謀カード。条件達成でゲージが溜まり、満タンで強力な効果が発動する。相手から見えるゲージが阻止の駆け引きを生む。段階数と最終効果でポイントを算出する。</t>
        </is>
      </c>
      <c r="J37" s="11" t="inlineStr">
        <is>
          <t>高</t>
        </is>
      </c>
      <c r="K37" s="8" t="inlineStr">
        <is>
          <t>カウンター・閾値</t>
        </is>
      </c>
      <c r="L37" s="12" t="inlineStr">
        <is>
          <t>△</t>
        </is>
      </c>
      <c r="M37" s="13" t="inlineStr">
        <is>
          <t>ゲージ付きパワー。#154 蓄積カウンターと同じ仕組みで後で</t>
        </is>
      </c>
    </row>
    <row r="38" ht="41.5" customHeight="1">
      <c r="A38" s="7" t="n">
        <v>37</v>
      </c>
      <c r="B38" s="8" t="inlineStr">
        <is>
          <t>サブタイプ</t>
        </is>
      </c>
      <c r="C38" s="8" t="inlineStr">
        <is>
          <t>コスト・リソース</t>
        </is>
      </c>
      <c r="D38" s="9" t="inlineStr">
        <is>
          <t>基本土地タイプ（平地・島・沼・山・森）</t>
        </is>
      </c>
      <c r="E38" s="10" t="inlineStr">
        <is>
          <t>Basic land types</t>
        </is>
      </c>
      <c r="F38" s="7" t="inlineStr">
        <is>
          <t>305.6</t>
        </is>
      </c>
      <c r="G38" s="8" t="inlineStr">
        <is>
          <t>平地・島・沼・山・森の5種。対応する色のマナを出す能力を自動で持ち、土地渡りなど多くのカードが参照する。</t>
        </is>
      </c>
      <c r="H38" s="8" t="inlineStr">
        <is>
          <t>アルファ (1993)</t>
        </is>
      </c>
      <c r="I38" s="10" t="inlineStr">
        <is>
          <t>5属性に対応する資源タイプにする。各属性の資源から対応する属性のエネルギーが出る形にすれば、多色デッキの資源配分が構築の悩みどころになる。</t>
        </is>
      </c>
      <c r="J38" s="11" t="inlineStr">
        <is>
          <t>中</t>
        </is>
      </c>
      <c r="K38" s="8" t="inlineStr">
        <is>
          <t>色・属性システム</t>
        </is>
      </c>
      <c r="L38" s="12" t="inlineStr">
        <is>
          <t>×</t>
        </is>
      </c>
      <c r="M38" s="13" t="inlineStr">
        <is>
          <t>色・土地前提</t>
        </is>
      </c>
    </row>
    <row r="39" ht="25" customHeight="1">
      <c r="A39" s="7" t="n">
        <v>38</v>
      </c>
      <c r="B39" s="8" t="inlineStr">
        <is>
          <t>サブタイプ</t>
        </is>
      </c>
      <c r="C39" s="8" t="inlineStr">
        <is>
          <t>条件ボーナス</t>
        </is>
      </c>
      <c r="D39" s="9" t="inlineStr">
        <is>
          <t>門</t>
        </is>
      </c>
      <c r="E39" s="10" t="inlineStr">
        <is>
          <t>Gate</t>
        </is>
      </c>
      <c r="F39" s="7" t="inlineStr">
        <is>
          <t>205.3i</t>
        </is>
      </c>
      <c r="G39" s="8" t="inlineStr">
        <is>
          <t>ラヴニカのギルド門を表す土地タイプ。門の数を参照するカードにより、門を並べるデッキが成立する。</t>
        </is>
      </c>
      <c r="H39" s="8" t="inlineStr">
        <is>
          <t>ラヴニカへの回帰 (2012)</t>
        </is>
      </c>
      <c r="I39" s="8" t="inlineStr">
        <is>
          <t>多属性の資源にタグを付け、その枚数で大技や勝利条件が解放される仕組み。資源カードの選び方にも構築上の意味が生まれる。</t>
        </is>
      </c>
      <c r="J39" s="11" t="inlineStr">
        <is>
          <t>高</t>
        </is>
      </c>
      <c r="K39" s="8" t="inlineStr">
        <is>
          <t>タグ参照</t>
        </is>
      </c>
      <c r="L39" s="12" t="inlineStr">
        <is>
          <t>×</t>
        </is>
      </c>
      <c r="M39" s="13" t="inlineStr">
        <is>
          <t>土地タグ前提</t>
        </is>
      </c>
    </row>
    <row r="40" ht="41.5" customHeight="1">
      <c r="A40" s="7" t="n">
        <v>39</v>
      </c>
      <c r="B40" s="8" t="inlineStr">
        <is>
          <t>サブタイプ</t>
        </is>
      </c>
      <c r="C40" s="8" t="inlineStr">
        <is>
          <t>条件ボーナス</t>
        </is>
      </c>
      <c r="D40" s="9" t="inlineStr">
        <is>
          <t>砂漠</t>
        </is>
      </c>
      <c r="E40" s="10" t="inlineStr">
        <is>
          <t>Desert</t>
        </is>
      </c>
      <c r="F40" s="7" t="inlineStr">
        <is>
          <t>205.3i</t>
        </is>
      </c>
      <c r="G40" s="8" t="inlineStr">
        <is>
          <t>第8版のルール変更時に定められた土地タイプで、アモンケットで本格的に再登場した。砂漠の有無や墓地の砂漠を参照するカードが多い。</t>
        </is>
      </c>
      <c r="H40" s="8" t="inlineStr">
        <is>
          <t>第8版 (2003)</t>
        </is>
      </c>
      <c r="I40" s="8" t="inlineStr">
        <is>
          <t>場にあるときと捨て札にあるときで参照される資源タグ。捨て札にある枚数を参照させると、資源カードを捨てる行為に意味が生まれる。</t>
        </is>
      </c>
      <c r="J40" s="11" t="inlineStr">
        <is>
          <t>高</t>
        </is>
      </c>
      <c r="K40" s="8" t="inlineStr">
        <is>
          <t>タグ・捨て札参照</t>
        </is>
      </c>
      <c r="L40" s="12" t="inlineStr">
        <is>
          <t>◎</t>
        </is>
      </c>
      <c r="M40" s="13" t="inlineStr">
        <is>
          <t>【今回実装：捨て札が10枚以上】条件 bigDiscard（捨て札10枚以上）に統合（#532）</t>
        </is>
      </c>
    </row>
    <row r="41" ht="37.5" customHeight="1">
      <c r="A41" s="7" t="n">
        <v>40</v>
      </c>
      <c r="B41" s="8" t="inlineStr">
        <is>
          <t>サブタイプ</t>
        </is>
      </c>
      <c r="C41" s="8" t="inlineStr">
        <is>
          <t>条件ボーナス</t>
        </is>
      </c>
      <c r="D41" s="9" t="inlineStr">
        <is>
          <t>洞窟</t>
        </is>
      </c>
      <c r="E41" s="10" t="inlineStr">
        <is>
          <t>Cave</t>
        </is>
      </c>
      <c r="F41" s="7" t="inlineStr">
        <is>
          <t>205.3i</t>
        </is>
      </c>
      <c r="G41" s="8" t="inlineStr">
        <is>
          <t>イクサラン：失われし洞窟で登場した土地タイプ。洞窟の数や洞窟のプレイを参照するカードと組む。</t>
        </is>
      </c>
      <c r="H41" s="8" t="inlineStr">
        <is>
          <t>イクサラン：失われし洞窟 (2023)</t>
        </is>
      </c>
      <c r="I41" s="8" t="inlineStr">
        <is>
          <t>洞窟資源を出したターンに能力が誘発する探索系タグ。資源カードのプレイ自体を誘発条件にすると、資源を出す順番に戦略性が出る。</t>
        </is>
      </c>
      <c r="J41" s="11" t="inlineStr">
        <is>
          <t>高</t>
        </is>
      </c>
      <c r="K41" s="8" t="inlineStr">
        <is>
          <t>タグ・誘発</t>
        </is>
      </c>
      <c r="L41" s="12" t="inlineStr">
        <is>
          <t>×</t>
        </is>
      </c>
      <c r="M41" s="13" t="inlineStr">
        <is>
          <t>土地プレイ前提</t>
        </is>
      </c>
    </row>
    <row r="42" ht="41.5" customHeight="1">
      <c r="A42" s="7" t="n">
        <v>41</v>
      </c>
      <c r="B42" s="8" t="inlineStr">
        <is>
          <t>サブタイプ</t>
        </is>
      </c>
      <c r="C42" s="8" t="inlineStr">
        <is>
          <t>その他</t>
        </is>
      </c>
      <c r="D42" s="9" t="inlineStr">
        <is>
          <t>街</t>
        </is>
      </c>
      <c r="E42" s="10" t="inlineStr">
        <is>
          <t>Town</t>
        </is>
      </c>
      <c r="F42" s="7" t="inlineStr">
        <is>
          <t>205.3i</t>
        </is>
      </c>
      <c r="G42" s="8" t="inlineStr">
        <is>
          <t>固有ルールのない土地タイプ。プレイテスト・カードで登場し、FINAL FANTASYで通常のカードにも使われた。</t>
        </is>
      </c>
      <c r="H42" s="10" t="inlineStr">
        <is>
          <t>Mystery Booster 2 (2024)</t>
        </is>
      </c>
      <c r="I42" s="8" t="inlineStr">
        <is>
          <t>拠点を表すタグとして使い、街を参照する装置やユニットと組ませる。舞台ごとのカード群を作るときの分類キーにもなる。</t>
        </is>
      </c>
      <c r="J42" s="11" t="inlineStr">
        <is>
          <t>高</t>
        </is>
      </c>
      <c r="K42" s="8" t="inlineStr">
        <is>
          <t>タグシステム</t>
        </is>
      </c>
      <c r="L42" s="12" t="inlineStr">
        <is>
          <t>×</t>
        </is>
      </c>
      <c r="M42" s="13" t="inlineStr">
        <is>
          <t>フレイバータグのみ</t>
        </is>
      </c>
    </row>
    <row r="43" ht="41.5" customHeight="1">
      <c r="A43" s="7" t="n">
        <v>42</v>
      </c>
      <c r="B43" s="8" t="inlineStr">
        <is>
          <t>サブタイプ</t>
        </is>
      </c>
      <c r="C43" s="8" t="inlineStr">
        <is>
          <t>成長・カウンター</t>
        </is>
      </c>
      <c r="D43" s="9" t="inlineStr">
        <is>
          <t>惑星</t>
        </is>
      </c>
      <c r="E43" s="10" t="inlineStr">
        <is>
          <t>Planet</t>
        </is>
      </c>
      <c r="F43" s="7" t="inlineStr">
        <is>
          <t>205.3i</t>
        </is>
      </c>
      <c r="G43" s="8" t="inlineStr">
        <is>
          <t>久遠の終端で登場した土地タイプ。配備で蓄積カウンターを溜め、閾値ごとに能力が増える神話レアの土地だけが持つ。</t>
        </is>
      </c>
      <c r="H43" s="8" t="inlineStr">
        <is>
          <t>久遠の終端 (2025)</t>
        </is>
      </c>
      <c r="I43" s="8" t="inlineStr">
        <is>
          <t>資源カードにも成長要素を入れる案。ユニットの攻撃力を注いで段階的に能力を開放する資源にすれば、序盤の資源と終盤の勝ち筋を1枚で担わせられる。</t>
        </is>
      </c>
      <c r="J43" s="11" t="inlineStr">
        <is>
          <t>中</t>
        </is>
      </c>
      <c r="K43" s="8" t="inlineStr">
        <is>
          <t>カウンター・閾値</t>
        </is>
      </c>
      <c r="L43" s="12" t="inlineStr">
        <is>
          <t>×</t>
        </is>
      </c>
      <c r="M43" s="13" t="inlineStr">
        <is>
          <t>土地・蓄積カウンター前提</t>
        </is>
      </c>
    </row>
    <row r="44" ht="41.5" customHeight="1">
      <c r="A44" s="7" t="n">
        <v>43</v>
      </c>
      <c r="B44" s="8" t="inlineStr">
        <is>
          <t>サブタイプ</t>
        </is>
      </c>
      <c r="C44" s="8" t="inlineStr">
        <is>
          <t>コスト・リソース</t>
        </is>
      </c>
      <c r="D44" s="9" t="inlineStr">
        <is>
          <t>ウルザの（鉱山・魔力炉・塔）</t>
        </is>
      </c>
      <c r="E44" s="10" t="inlineStr">
        <is>
          <t>Urza's (Mine, Power-Plant, Tower)</t>
        </is>
      </c>
      <c r="F44" s="7" t="inlineStr">
        <is>
          <t>205.3i</t>
        </is>
      </c>
      <c r="G44" s="8" t="inlineStr">
        <is>
          <t>ウルザの鉱山・魔力炉・塔の3種の土地タイプ。3種が揃うと各土地がより多くのマナを生み出す。</t>
        </is>
      </c>
      <c r="H44" s="8" t="inlineStr">
        <is>
          <t>アンティキティー (1994)</t>
        </is>
      </c>
      <c r="I44" s="10" t="inlineStr">
        <is>
          <t>3種セットの収集ボーナス。3種が場に揃うと資源が大きく増える設計は、揃うまでの運と揃った後の爆発力が分かりやすい。単体では通常資源と同等にしておく。</t>
        </is>
      </c>
      <c r="J44" s="11" t="inlineStr">
        <is>
          <t>高</t>
        </is>
      </c>
      <c r="K44" s="8" t="inlineStr">
        <is>
          <t>セット判定</t>
        </is>
      </c>
      <c r="L44" s="12" t="inlineStr">
        <is>
          <t>×</t>
        </is>
      </c>
      <c r="M44" s="13" t="inlineStr">
        <is>
          <t>土地3種セット前提</t>
        </is>
      </c>
    </row>
    <row r="45" ht="41.5" customHeight="1">
      <c r="A45" s="7" t="n">
        <v>44</v>
      </c>
      <c r="B45" s="8" t="inlineStr">
        <is>
          <t>サブタイプ</t>
        </is>
      </c>
      <c r="C45" s="8" t="inlineStr">
        <is>
          <t>コスト・リソース</t>
        </is>
      </c>
      <c r="D45" s="9" t="inlineStr">
        <is>
          <t>神座</t>
        </is>
      </c>
      <c r="E45" s="10" t="inlineStr">
        <is>
          <t>Locus</t>
        </is>
      </c>
      <c r="F45" s="7" t="inlineStr">
        <is>
          <t>205.3i</t>
        </is>
      </c>
      <c r="G45" s="8" t="inlineStr">
        <is>
          <t>神座の数に応じてマナやライフを生む土地のタイプ。雲上の座などで神座を並べるほど強くなる。</t>
        </is>
      </c>
      <c r="H45" s="8" t="inlineStr">
        <is>
          <t>ミラディン (2003)</t>
        </is>
      </c>
      <c r="I45" s="8" t="inlineStr">
        <is>
          <t>同じタグの資源を並べるほど1枚あたりの生産量が増える加速型の資源。上限がないと暴走するため、獲得量の上限をポイント設計に含める。</t>
        </is>
      </c>
      <c r="J45" s="11" t="inlineStr">
        <is>
          <t>高</t>
        </is>
      </c>
      <c r="K45" s="8" t="inlineStr">
        <is>
          <t>タグ参照</t>
        </is>
      </c>
      <c r="L45" s="12" t="inlineStr">
        <is>
          <t>×</t>
        </is>
      </c>
      <c r="M45" s="13" t="inlineStr">
        <is>
          <t>土地タグ前提</t>
        </is>
      </c>
    </row>
    <row r="46" ht="45.5" customHeight="1">
      <c r="A46" s="7" t="n">
        <v>45</v>
      </c>
      <c r="B46" s="8" t="inlineStr">
        <is>
          <t>サブタイプ</t>
        </is>
      </c>
      <c r="C46" s="8" t="inlineStr">
        <is>
          <t>コスト・リソース</t>
        </is>
      </c>
      <c r="D46" s="9" t="inlineStr">
        <is>
          <t>棲み家</t>
        </is>
      </c>
      <c r="E46" s="10" t="inlineStr">
        <is>
          <t>Lair</t>
        </is>
      </c>
      <c r="F46" s="7" t="inlineStr">
        <is>
          <t>205.3i</t>
        </is>
      </c>
      <c r="G46" s="8" t="inlineStr">
        <is>
          <t>プレーンシフトの3色土地が持つ土地タイプ。出たとき棲み家でない自分の土地を1つ手札に戻さないと生け贄になる。</t>
        </is>
      </c>
      <c r="H46" s="8" t="inlineStr">
        <is>
          <t>プレーンシフト (2001)</t>
        </is>
      </c>
      <c r="I46" s="8" t="inlineStr">
        <is>
          <t>出す代わりに既存の資源を手札に戻す入れ替え型の資源。テンポを失う代わりに1枚で3属性を賄える。デメリット分だけポイントを割り引く例として使える。</t>
        </is>
      </c>
      <c r="J46" s="11" t="inlineStr">
        <is>
          <t>高</t>
        </is>
      </c>
      <c r="K46" s="8" t="inlineStr">
        <is>
          <t>資源カード</t>
        </is>
      </c>
      <c r="L46" s="12" t="inlineStr">
        <is>
          <t>×</t>
        </is>
      </c>
      <c r="M46" s="13" t="inlineStr">
        <is>
          <t>土地前提</t>
        </is>
      </c>
    </row>
    <row r="47" ht="29" customHeight="1">
      <c r="A47" s="7" t="n">
        <v>46</v>
      </c>
      <c r="B47" s="8" t="inlineStr">
        <is>
          <t>サブタイプ</t>
        </is>
      </c>
      <c r="C47" s="8" t="inlineStr">
        <is>
          <t>その他</t>
        </is>
      </c>
      <c r="D47" s="9" t="inlineStr">
        <is>
          <t>球層</t>
        </is>
      </c>
      <c r="E47" s="10" t="inlineStr">
        <is>
          <t>Sphere</t>
        </is>
      </c>
      <c r="F47" s="7" t="inlineStr">
        <is>
          <t>205.3i</t>
        </is>
      </c>
      <c r="G47" s="8" t="inlineStr">
        <is>
          <t>新ファイレクシアの層構造を表す土地タイプ。ルール上の意味はなく、フレイバーを示す。</t>
        </is>
      </c>
      <c r="H47" s="8" t="inlineStr">
        <is>
          <t>ファイレクシア：完全なる統一 (2023)</t>
        </is>
      </c>
      <c r="I47" s="8" t="inlineStr">
        <is>
          <t>世界観を表すフレイバー・タグ。直接の効果は持たせず、タグを数えるカードやカードプールの分類キーとして使う。</t>
        </is>
      </c>
      <c r="J47" s="11" t="inlineStr">
        <is>
          <t>高</t>
        </is>
      </c>
      <c r="K47" s="8" t="inlineStr">
        <is>
          <t>タグシステム</t>
        </is>
      </c>
      <c r="L47" s="12" t="inlineStr">
        <is>
          <t>×</t>
        </is>
      </c>
      <c r="M47" s="13" t="inlineStr">
        <is>
          <t>フレイバータグのみ</t>
        </is>
      </c>
    </row>
    <row r="48" ht="41.5" customHeight="1">
      <c r="A48" s="7" t="n">
        <v>47</v>
      </c>
      <c r="B48" s="8" t="inlineStr">
        <is>
          <t>サブタイプ</t>
        </is>
      </c>
      <c r="C48" s="8" t="inlineStr">
        <is>
          <t>条件ボーナス</t>
        </is>
      </c>
      <c r="D48" s="9" t="inlineStr">
        <is>
          <t>秘儀</t>
        </is>
      </c>
      <c r="E48" s="10" t="inlineStr">
        <is>
          <t>Arcane</t>
        </is>
      </c>
      <c r="F48" s="7" t="inlineStr">
        <is>
          <t>205.3k</t>
        </is>
      </c>
      <c r="G48" s="8" t="inlineStr">
        <is>
          <t>神河ブロックの呪文タイプ。秘儀を唱えるたびに誘発する能力や、秘儀に連繋する能力と組み合わさる。</t>
        </is>
      </c>
      <c r="H48" s="8" t="inlineStr">
        <is>
          <t>神河物語 (2004)</t>
        </is>
      </c>
      <c r="I48" s="8" t="inlineStr">
        <is>
          <t>特定タグのスキルを使うたびに場のカードが誘発する仕組み。連繋のように手札の別カードの効果を添えて使える機能も合わせると、1ターンのコンボ感が出る。</t>
        </is>
      </c>
      <c r="J48" s="11" t="inlineStr">
        <is>
          <t>高</t>
        </is>
      </c>
      <c r="K48" s="8" t="inlineStr">
        <is>
          <t>タグ・誘発</t>
        </is>
      </c>
      <c r="L48" s="12" t="inlineStr">
        <is>
          <t>×</t>
        </is>
      </c>
      <c r="M48" s="13" t="inlineStr">
        <is>
          <t>タグ誘発前提。既存：カードを使うたび</t>
        </is>
      </c>
    </row>
    <row r="49" ht="45.5" customHeight="1">
      <c r="A49" s="7" t="n">
        <v>48</v>
      </c>
      <c r="B49" s="8" t="inlineStr">
        <is>
          <t>サブタイプ</t>
        </is>
      </c>
      <c r="C49" s="8" t="inlineStr">
        <is>
          <t>妨害</t>
        </is>
      </c>
      <c r="D49" s="9" t="inlineStr">
        <is>
          <t>罠</t>
        </is>
      </c>
      <c r="E49" s="10" t="inlineStr">
        <is>
          <t>Trap</t>
        </is>
      </c>
      <c r="F49" s="7" t="inlineStr">
        <is>
          <t>205.3k</t>
        </is>
      </c>
      <c r="G49" s="8" t="inlineStr">
        <is>
          <t>ゼンディカーの呪文タイプ。相手が特定の行動をしたターンなら代替コストで安く唱えられるものが多い。</t>
        </is>
      </c>
      <c r="H49" s="8" t="inlineStr">
        <is>
          <t>ゼンディカー (2009)</t>
        </is>
      </c>
      <c r="I49" s="8" t="inlineStr">
        <is>
          <t>相手の行動を条件にコストが0になる対抗カード。オンラインでは「相手が3枚以上使ったら」など明確な条件を自動判定にすると、心理戦を残しつつ実装が楽になる。</t>
        </is>
      </c>
      <c r="J49" s="11" t="inlineStr">
        <is>
          <t>中</t>
        </is>
      </c>
      <c r="K49" s="8" t="inlineStr">
        <is>
          <t>条件判定・割り込み</t>
        </is>
      </c>
      <c r="L49" s="12" t="inlineStr">
        <is>
          <t>◎</t>
        </is>
      </c>
      <c r="M49" s="13" t="inlineStr">
        <is>
          <t>【今回実装：条件『前の相手のターンに相手がカードを3枚以上使った』＋能力『条件付き軽減』（コスト0化）（`enemyPlayedMany`・バッチA）】（審査時は○）条件『前の相手のターンに相手がカードを3枚以上使った』倍率0.6。コスト0化はコスト処理が要る</t>
        </is>
      </c>
    </row>
    <row r="50" ht="45.5" customHeight="1">
      <c r="A50" s="7" t="n">
        <v>49</v>
      </c>
      <c r="B50" s="8" t="inlineStr">
        <is>
          <t>サブタイプ</t>
        </is>
      </c>
      <c r="C50" s="8" t="inlineStr">
        <is>
          <t>ドロー・手札</t>
        </is>
      </c>
      <c r="D50" s="9" t="inlineStr">
        <is>
          <t>講義</t>
        </is>
      </c>
      <c r="E50" s="10" t="inlineStr">
        <is>
          <t>Lesson</t>
        </is>
      </c>
      <c r="F50" s="7" t="inlineStr">
        <is>
          <t>205.3k</t>
        </is>
      </c>
      <c r="G50" s="8" t="inlineStr">
        <is>
          <t>ストリクスヘイヴンの呪文タイプ。履修などでサイドボードから講義カードを手札に加えられる。</t>
        </is>
      </c>
      <c r="H50" s="8" t="inlineStr">
        <is>
          <t>ストリクスヘイヴン：魔法学院 (2021)</t>
        </is>
      </c>
      <c r="I50" s="8" t="inlineStr">
        <is>
          <t>デッキ外の控えカードから状況に応じて1枚を手札に呼び込む。控え枠を5枚程度に固定し、呼び込む効果にポイントを割り当てると構築の幅が広がる。</t>
        </is>
      </c>
      <c r="J50" s="11" t="inlineStr">
        <is>
          <t>中</t>
        </is>
      </c>
      <c r="K50" s="8" t="inlineStr">
        <is>
          <t>サイドボード枠</t>
        </is>
      </c>
      <c r="L50" s="12" t="inlineStr">
        <is>
          <t>×</t>
        </is>
      </c>
      <c r="M50" s="13" t="inlineStr">
        <is>
          <t>サイドボード前提</t>
        </is>
      </c>
    </row>
    <row r="51" ht="41.5" customHeight="1">
      <c r="A51" s="7" t="n">
        <v>50</v>
      </c>
      <c r="B51" s="8" t="inlineStr">
        <is>
          <t>サブタイプ</t>
        </is>
      </c>
      <c r="C51" s="8" t="inlineStr">
        <is>
          <t>その他</t>
        </is>
      </c>
      <c r="D51" s="9" t="inlineStr">
        <is>
          <t>合唱</t>
        </is>
      </c>
      <c r="E51" s="10" t="inlineStr">
        <is>
          <t>Chorus</t>
        </is>
      </c>
      <c r="F51" s="7" t="n"/>
      <c r="G51" s="10" t="inlineStr">
        <is>
          <t>MTGアリーナ限定の呪文タイプ。総合ルールにはなく、合唱を参照するデジタル専用カードと組む。</t>
        </is>
      </c>
      <c r="H51" s="8" t="inlineStr">
        <is>
          <t>アルケミー：イクサラン (2023)</t>
        </is>
      </c>
      <c r="I51" s="8" t="inlineStr">
        <is>
          <t>デジタル専用カードの分類タグの例。紙では難しい効果（無作為生成や恒久強化）を持つカードを1つのタグにまとめ、そのタグを数えるカードで統一感を出す。</t>
        </is>
      </c>
      <c r="J51" s="11" t="inlineStr">
        <is>
          <t>高</t>
        </is>
      </c>
      <c r="K51" s="8" t="inlineStr">
        <is>
          <t>タグシステム</t>
        </is>
      </c>
      <c r="L51" s="12" t="inlineStr">
        <is>
          <t>×</t>
        </is>
      </c>
      <c r="M51" s="13" t="inlineStr">
        <is>
          <t>デジタル分類タグのみ</t>
        </is>
      </c>
    </row>
    <row r="52" ht="37.5" customHeight="1">
      <c r="A52" s="7" t="n">
        <v>51</v>
      </c>
      <c r="B52" s="8" t="inlineStr">
        <is>
          <t>サブタイプ</t>
        </is>
      </c>
      <c r="C52" s="8" t="inlineStr">
        <is>
          <t>攻撃</t>
        </is>
      </c>
      <c r="D52" s="9" t="inlineStr">
        <is>
          <t>包囲戦</t>
        </is>
      </c>
      <c r="E52" s="10" t="inlineStr">
        <is>
          <t>Siege</t>
        </is>
      </c>
      <c r="F52" s="7" t="inlineStr">
        <is>
          <t>205.3q</t>
        </is>
      </c>
      <c r="G52" s="8" t="inlineStr">
        <is>
          <t>バトル・タイプ。対戦相手を守る者に選んで戦場に出し、守備カウンターを全て取り除くと追放して変身面を無料で唱えられる。</t>
        </is>
      </c>
      <c r="H52" s="8" t="inlineStr">
        <is>
          <t>機械兵団の進軍 (2023)</t>
        </is>
      </c>
      <c r="I52" s="8" t="inlineStr">
        <is>
          <t>相手側に置く攻略目標で、撃破すると裏面の強力なユニットや効果が手に入る。撃破に必要なダメージと報酬の大きさから逆算してポイントを決める。</t>
        </is>
      </c>
      <c r="J52" s="11" t="inlineStr">
        <is>
          <t>中</t>
        </is>
      </c>
      <c r="K52" s="8" t="inlineStr">
        <is>
          <t>攻撃先選択</t>
        </is>
      </c>
      <c r="L52" s="12" t="inlineStr">
        <is>
          <t>△</t>
        </is>
      </c>
      <c r="M52" s="13" t="inlineStr">
        <is>
          <t>No.2と同じ。相手側の攻略目標は新ゾーンが要る</t>
        </is>
      </c>
    </row>
    <row r="53" ht="41.5" customHeight="1">
      <c r="A53" s="7" t="n">
        <v>52</v>
      </c>
      <c r="B53" s="8" t="inlineStr">
        <is>
          <t>サブタイプ</t>
        </is>
      </c>
      <c r="C53" s="8" t="inlineStr">
        <is>
          <t>デッキ構築</t>
        </is>
      </c>
      <c r="D53" s="9" t="inlineStr">
        <is>
          <t>プレインズウォーカー・タイプ</t>
        </is>
      </c>
      <c r="E53" s="10" t="inlineStr">
        <is>
          <t>Planeswalker types</t>
        </is>
      </c>
      <c r="F53" s="7" t="inlineStr">
        <is>
          <t>205.3j</t>
        </is>
      </c>
      <c r="G53" s="8" t="inlineStr">
        <is>
          <t>ジェイスやチャンドラなど人物名がサブタイプになる。かつては同タイプのPWを1体しか持てないルールがあった。</t>
        </is>
      </c>
      <c r="H53" s="8" t="inlineStr">
        <is>
          <t>ローウィン (2007)</t>
        </is>
      </c>
      <c r="I53" s="8" t="inlineStr">
        <is>
          <t>人物名をタグにして同じ人物のカードを参照させる。同じ人物は場に1枚までとすれば、人物の差し替えによる立て直しが戦略になる。</t>
        </is>
      </c>
      <c r="J53" s="11" t="inlineStr">
        <is>
          <t>高</t>
        </is>
      </c>
      <c r="K53" s="8" t="inlineStr">
        <is>
          <t>タグシステム</t>
        </is>
      </c>
      <c r="L53" s="12" t="inlineStr">
        <is>
          <t>×</t>
        </is>
      </c>
      <c r="M53" s="13" t="inlineStr">
        <is>
          <t>人物タグ前提</t>
        </is>
      </c>
    </row>
    <row r="54" ht="41.5" customHeight="1">
      <c r="A54" s="7" t="n">
        <v>53</v>
      </c>
      <c r="B54" s="8" t="inlineStr">
        <is>
          <t>サブタイプ</t>
        </is>
      </c>
      <c r="C54" s="8" t="inlineStr">
        <is>
          <t>デッキ構築</t>
        </is>
      </c>
      <c r="D54" s="9" t="inlineStr">
        <is>
          <t>クリーチャー・タイプ（部族シナジー）</t>
        </is>
      </c>
      <c r="E54" s="10" t="inlineStr">
        <is>
          <t>Creature types</t>
        </is>
      </c>
      <c r="F54" s="7" t="inlineStr">
        <is>
          <t>205.3m</t>
        </is>
      </c>
      <c r="G54" s="8" t="inlineStr">
        <is>
          <t>エルフやゴブリンなど種族・職業を表す300種以上のサブタイプ。同タイプを強化するロードや部族カードがデッキの軸になる。</t>
        </is>
      </c>
      <c r="H54" s="8" t="inlineStr">
        <is>
          <t>アルファ (1993)</t>
        </is>
      </c>
      <c r="I54" s="8" t="inlineStr">
        <is>
          <t>種族タグを5〜8種に絞り、各種族に「同種族1体ごとに強化」や「同種族をサーチ」を配る。種族数が多すぎると構築が分散するので、最初は少数で始め拡張時に追加する。</t>
        </is>
      </c>
      <c r="J54" s="11" t="inlineStr">
        <is>
          <t>高</t>
        </is>
      </c>
      <c r="K54" s="8" t="inlineStr">
        <is>
          <t>タグシステム</t>
        </is>
      </c>
      <c r="L54" s="12" t="inlineStr">
        <is>
          <t>◎</t>
        </is>
      </c>
      <c r="M54" s="13" t="inlineStr">
        <is>
          <t>【今回実装：種族タグ＋条件『同じ種族の自分のモンスターがいる』・修飾『同じ種族1体につき』・対象『同じ種族の自分のモンスター全体』（`tribe`・バッチC2）】（審査時は○）種族タグ（5〜8種）＋条件『同種族が2体以上』・効果『同種族1体ごとに攻撃力+N』。タグ機構が要る</t>
        </is>
      </c>
    </row>
    <row r="55" ht="45.5" customHeight="1">
      <c r="A55" s="7" t="n">
        <v>54</v>
      </c>
      <c r="B55" s="8" t="inlineStr">
        <is>
          <t>カードレイアウト</t>
        </is>
      </c>
      <c r="C55" s="8" t="inlineStr">
        <is>
          <t>その他</t>
        </is>
      </c>
      <c r="D55" s="9" t="inlineStr">
        <is>
          <t>分割カード</t>
        </is>
      </c>
      <c r="E55" s="10" t="inlineStr">
        <is>
          <t>Split card</t>
        </is>
      </c>
      <c r="F55" s="7" t="inlineStr">
        <is>
          <t>709</t>
        </is>
      </c>
      <c r="G55" s="10" t="inlineStr">
        <is>
          <t>1枚に小さな呪文2つを並べ、唱える時にどちらか一方を選ぶ。手札や墓地では両半分の特性を併せ持つものとして扱う。</t>
        </is>
      </c>
      <c r="H55" s="8" t="inlineStr">
        <is>
          <t>インベイジョン (2000)</t>
        </is>
      </c>
      <c r="I55" s="10" t="inlineStr">
        <is>
          <t>1枚に軽い効果Aと重い効果Bを載せ、使う時にどちらかを選ぶ。ポイントは両方の合計より割安にし、状況対応力そのものに値段を付ける。UIは左右タップで選択。</t>
        </is>
      </c>
      <c r="J55" s="11" t="inlineStr">
        <is>
          <t>高</t>
        </is>
      </c>
      <c r="K55" s="8" t="inlineStr">
        <is>
          <t>なし</t>
        </is>
      </c>
      <c r="L55" s="12" t="inlineStr">
        <is>
          <t>◎</t>
        </is>
      </c>
      <c r="M55" s="13" t="inlineStr">
        <is>
          <t>【今回実装：モード選択（次のうち1つを選ぶ）（`modes`・バッチC2）】（審査時は○）選択式カード：効果A/Bを使用時に選ぶ。ポイントは高い方＋低い方の3割</t>
        </is>
      </c>
    </row>
    <row r="56" ht="45.5" customHeight="1">
      <c r="A56" s="7" t="n">
        <v>55</v>
      </c>
      <c r="B56" s="8" t="inlineStr">
        <is>
          <t>カードレイアウト</t>
        </is>
      </c>
      <c r="C56" s="8" t="inlineStr">
        <is>
          <t>コスト・リソース</t>
        </is>
      </c>
      <c r="D56" s="9" t="inlineStr">
        <is>
          <t>部屋</t>
        </is>
      </c>
      <c r="E56" s="10" t="inlineStr">
        <is>
          <t>Room</t>
        </is>
      </c>
      <c r="F56" s="7" t="inlineStr">
        <is>
          <t>709</t>
        </is>
      </c>
      <c r="G56" s="10" t="inlineStr">
        <is>
          <t>2つの扉を持つ分割エンチャント。片方の扉だけ開けた状態で出し、後からコストを払って残りの扉を開けると追加の効果が働く。</t>
        </is>
      </c>
      <c r="H56" s="8" t="inlineStr">
        <is>
          <t>ダスクモーン：戦慄の館 (2024)</t>
        </is>
      </c>
      <c r="I56" s="8" t="inlineStr">
        <is>
          <t>設置型カードに第2の扉を用意し、後でエネルギーを払って開けると別効果が起動する。1枚が中長期の投資先になり、ポイントは扉ごとに個別に計上できる。</t>
        </is>
      </c>
      <c r="J56" s="11" t="inlineStr">
        <is>
          <t>中</t>
        </is>
      </c>
      <c r="K56" s="8" t="inlineStr">
        <is>
          <t>場に残るカード</t>
        </is>
      </c>
      <c r="L56" s="12" t="inlineStr">
        <is>
          <t>×</t>
        </is>
      </c>
      <c r="M56" s="13" t="inlineStr">
        <is>
          <t>扉の開閉が重い。パワーで代用可</t>
        </is>
      </c>
    </row>
    <row r="57" ht="37.5" customHeight="1">
      <c r="A57" s="7" t="n">
        <v>56</v>
      </c>
      <c r="B57" s="8" t="inlineStr">
        <is>
          <t>カードレイアウト</t>
        </is>
      </c>
      <c r="C57" s="8" t="inlineStr">
        <is>
          <t>条件ボーナス</t>
        </is>
      </c>
      <c r="D57" s="9" t="inlineStr">
        <is>
          <t>反転カード</t>
        </is>
      </c>
      <c r="E57" s="10" t="inlineStr">
        <is>
          <t>Flip card</t>
        </is>
      </c>
      <c r="F57" s="7" t="inlineStr">
        <is>
          <t>710</t>
        </is>
      </c>
      <c r="G57" s="8" t="inlineStr">
        <is>
          <t>上下逆さにもう一つの特性を印刷し、条件を満たすと戦場のパーマネントを反転させて強化版に切り替える。元には戻らない。</t>
        </is>
      </c>
      <c r="H57" s="8" t="inlineStr">
        <is>
          <t>神河物語 (2004)</t>
        </is>
      </c>
      <c r="I57" s="8" t="inlineStr">
        <is>
          <t>条件達成で上位形態に変わる一方通行の進化カード。デジタルなら演出付きで切り替えを見せられ、条件の難しさに応じて変化後ステータスのポイントを割り引ける。</t>
        </is>
      </c>
      <c r="J57" s="11" t="inlineStr">
        <is>
          <t>中</t>
        </is>
      </c>
      <c r="K57" s="8" t="inlineStr">
        <is>
          <t>場に残るカード</t>
        </is>
      </c>
      <c r="L57" s="12" t="inlineStr">
        <is>
          <t>△</t>
        </is>
      </c>
      <c r="M57" s="13" t="inlineStr">
        <is>
          <t>条件達成でモンスターが強化版に変わる『進化』。変身データが要る</t>
        </is>
      </c>
    </row>
    <row r="58" ht="41.5" customHeight="1">
      <c r="A58" s="7" t="n">
        <v>57</v>
      </c>
      <c r="B58" s="8" t="inlineStr">
        <is>
          <t>カードレイアウト</t>
        </is>
      </c>
      <c r="C58" s="8" t="inlineStr">
        <is>
          <t>条件ボーナス</t>
        </is>
      </c>
      <c r="D58" s="9" t="inlineStr">
        <is>
          <t>変身する両面カード</t>
        </is>
      </c>
      <c r="E58" s="10" t="inlineStr">
        <is>
          <t>Transforming double-faced card</t>
        </is>
      </c>
      <c r="F58" s="7" t="inlineStr">
        <is>
          <t>712</t>
        </is>
      </c>
      <c r="G58" s="8" t="inlineStr">
        <is>
          <t>表裏の両面に別々の特性を持ち、効果によって裏返る。人狼のように条件次第で何度も表裏を行き来するものもある。</t>
        </is>
      </c>
      <c r="H58" s="8" t="inlineStr">
        <is>
          <t>イニストラード (2011)</t>
        </is>
      </c>
      <c r="I58" s="8" t="inlineStr">
        <is>
          <t>表裏で別性能のカードを作り、条件で何度でも切り替え可能にする。裏面を常時プレビューできるUIで情報差を減らす。状態を持つぶんポイント上限を高めに設定する。</t>
        </is>
      </c>
      <c r="J58" s="11" t="inlineStr">
        <is>
          <t>中</t>
        </is>
      </c>
      <c r="K58" s="8" t="inlineStr">
        <is>
          <t>状態フラグ</t>
        </is>
      </c>
      <c r="L58" s="12" t="inlineStr">
        <is>
          <t>△</t>
        </is>
      </c>
      <c r="M58" s="13" t="inlineStr">
        <is>
          <t>No.56と統合。何度も表裏は不要</t>
        </is>
      </c>
    </row>
    <row r="59" ht="37.5" customHeight="1">
      <c r="A59" s="7" t="n">
        <v>58</v>
      </c>
      <c r="B59" s="8" t="inlineStr">
        <is>
          <t>カードレイアウト</t>
        </is>
      </c>
      <c r="C59" s="8" t="inlineStr">
        <is>
          <t>コスト・リソース</t>
        </is>
      </c>
      <c r="D59" s="9" t="inlineStr">
        <is>
          <t>モードを持つ両面カード</t>
        </is>
      </c>
      <c r="E59" s="10" t="inlineStr">
        <is>
          <t>Modal double-faced card (MDFC)</t>
        </is>
      </c>
      <c r="F59" s="7" t="inlineStr">
        <is>
          <t>712</t>
        </is>
      </c>
      <c r="G59" s="8" t="inlineStr">
        <is>
          <t>手札から出すときにどちらの面としてプレイするかを選ぶ両面カード。片面が土地のものが多く、マナ事故の緩和に役立つ。</t>
        </is>
      </c>
      <c r="H59" s="8" t="inlineStr">
        <is>
          <t>ゼンディカーの夜明け (2020)</t>
        </is>
      </c>
      <c r="I59" s="8" t="inlineStr">
        <is>
          <t>表は攻撃カード、裏はエネルギー供給カードのように、使うときに面を選べる。手札事故を減らす救済枠として、片面ずつのポイントをやや低めに設定する。</t>
        </is>
      </c>
      <c r="J59" s="11" t="inlineStr">
        <is>
          <t>高</t>
        </is>
      </c>
      <c r="K59" s="8" t="inlineStr">
        <is>
          <t>なし</t>
        </is>
      </c>
      <c r="L59" s="12" t="inlineStr">
        <is>
          <t>×</t>
        </is>
      </c>
      <c r="M59" s="13" t="inlineStr">
        <is>
          <t>No.54の選択式カードで十分</t>
        </is>
      </c>
    </row>
    <row r="60" ht="45.5" customHeight="1">
      <c r="A60" s="7" t="n">
        <v>59</v>
      </c>
      <c r="B60" s="8" t="inlineStr">
        <is>
          <t>カードレイアウト</t>
        </is>
      </c>
      <c r="C60" s="8" t="inlineStr">
        <is>
          <t>強化</t>
        </is>
      </c>
      <c r="D60" s="9" t="inlineStr">
        <is>
          <t>合体</t>
        </is>
      </c>
      <c r="E60" s="10" t="inlineStr">
        <is>
          <t>Meld</t>
        </is>
      </c>
      <c r="F60" s="7" t="inlineStr">
        <is>
          <t>701.42</t>
        </is>
      </c>
      <c r="G60" s="8" t="inlineStr">
        <is>
          <t>対になる特定の2枚を両方コントロールし条件を満たすと、2枚が1体の巨大なパーマネントに合わさる。</t>
        </is>
      </c>
      <c r="H60" s="8" t="inlineStr">
        <is>
          <t>異界月 (2016)</t>
        </is>
      </c>
      <c r="I60" s="8" t="inlineStr">
        <is>
          <t>対になる2枚を場に揃え条件を満たすと合体ユニットに変わる。デッキに組み込む難度が高いぶん、合体後のポイントを2枚分以上にしてロマン枠にする。</t>
        </is>
      </c>
      <c r="J60" s="11" t="inlineStr">
        <is>
          <t>中</t>
        </is>
      </c>
      <c r="K60" s="8" t="inlineStr">
        <is>
          <t>場に残るカード</t>
        </is>
      </c>
      <c r="L60" s="12" t="inlineStr">
        <is>
          <t>×</t>
        </is>
      </c>
      <c r="M60" s="13" t="inlineStr">
        <is>
          <t>2枚合体は重くロマン枠</t>
        </is>
      </c>
    </row>
    <row r="61" ht="45.5" customHeight="1">
      <c r="A61" s="7" t="n">
        <v>60</v>
      </c>
      <c r="B61" s="8" t="inlineStr">
        <is>
          <t>カードレイアウト</t>
        </is>
      </c>
      <c r="C61" s="8" t="inlineStr">
        <is>
          <t>反復・再利用</t>
        </is>
      </c>
      <c r="D61" s="9" t="inlineStr">
        <is>
          <t>出来事</t>
        </is>
      </c>
      <c r="E61" s="10" t="inlineStr">
        <is>
          <t>Adventure</t>
        </is>
      </c>
      <c r="F61" s="7" t="inlineStr">
        <is>
          <t>715</t>
        </is>
      </c>
      <c r="G61" s="8" t="inlineStr">
        <is>
          <t>クリーチャーに小さな呪文が付属し、先に呪文として使うと追放され、後でその追放領域からクリーチャー本体を唱えられる。</t>
        </is>
      </c>
      <c r="H61" s="8" t="inlineStr">
        <is>
          <t>エルドレインの王権 (2019)</t>
        </is>
      </c>
      <c r="I61" s="10" t="inlineStr">
        <is>
          <t>1枚に先に使う小技と後で出す本体を持たせ、小技使用後は専用の待機ゾーンへ置く。1枚で2回行動できるため、ポイントは単体カードより割高に設定する。</t>
        </is>
      </c>
      <c r="J61" s="11" t="inlineStr">
        <is>
          <t>中</t>
        </is>
      </c>
      <c r="K61" s="8" t="inlineStr">
        <is>
          <t>待機ゾーン</t>
        </is>
      </c>
      <c r="L61" s="12" t="inlineStr">
        <is>
          <t>△</t>
        </is>
      </c>
      <c r="M61" s="13" t="inlineStr">
        <is>
          <t>小技を使った後に本体を出す待機ゾーンが要る。後回し</t>
        </is>
      </c>
    </row>
    <row r="62" ht="41.5" customHeight="1">
      <c r="A62" s="7" t="n">
        <v>61</v>
      </c>
      <c r="B62" s="8" t="inlineStr">
        <is>
          <t>カードレイアウト</t>
        </is>
      </c>
      <c r="C62" s="8" t="inlineStr">
        <is>
          <t>山札操作</t>
        </is>
      </c>
      <c r="D62" s="9" t="inlineStr">
        <is>
          <t>前兆</t>
        </is>
      </c>
      <c r="E62" s="10" t="inlineStr">
        <is>
          <t>Omen</t>
        </is>
      </c>
      <c r="F62" s="7" t="inlineStr">
        <is>
          <t>720</t>
        </is>
      </c>
      <c r="G62" s="8" t="inlineStr">
        <is>
          <t>クリーチャーに付属する前兆呪文として唱えると、解決後に墓地でなくライブラリーに切り直される。後で本体として引き直せる。</t>
        </is>
      </c>
      <c r="H62" s="8" t="inlineStr">
        <is>
          <t>タルキール：龍嵐録 (2025)</t>
        </is>
      </c>
      <c r="I62" s="8" t="inlineStr">
        <is>
          <t>呪文面で使うと捨て札ではなく山札にシャッフルされる。リソースが山札に戻るので長期戦向け。StS型の山札循環と相性がよく、前兆面のポイントを安くできる。</t>
        </is>
      </c>
      <c r="J62" s="11" t="inlineStr">
        <is>
          <t>高</t>
        </is>
      </c>
      <c r="K62" s="8" t="inlineStr">
        <is>
          <t>山札シャッフル</t>
        </is>
      </c>
      <c r="L62" s="12" t="inlineStr">
        <is>
          <t>◎</t>
        </is>
      </c>
      <c r="M62" s="13" t="inlineStr">
        <is>
          <t>【今回実装：カードの能力『循環』（`shuffleBack`・バッチB）】（審査時は○）修飾『循環』：使った後に捨て札でなく山札に混ぜる。+1pt 程度</t>
        </is>
      </c>
    </row>
    <row r="63" ht="41.5" customHeight="1">
      <c r="A63" s="7" t="n">
        <v>62</v>
      </c>
      <c r="B63" s="8" t="inlineStr">
        <is>
          <t>カードレイアウト</t>
        </is>
      </c>
      <c r="C63" s="8" t="inlineStr">
        <is>
          <t>反復・再利用</t>
        </is>
      </c>
      <c r="D63" s="9" t="inlineStr">
        <is>
          <t>英雄譚</t>
        </is>
      </c>
      <c r="E63" s="10" t="inlineStr">
        <is>
          <t>Saga</t>
        </is>
      </c>
      <c r="F63" s="7" t="inlineStr">
        <is>
          <t>714</t>
        </is>
      </c>
      <c r="G63" s="8" t="inlineStr">
        <is>
          <t>毎ターン伝承カウンターが増え、章ごとに異なる効果が順番に起動し、最終章の後に生け贄に捧げられるエンチャント。</t>
        </is>
      </c>
      <c r="H63" s="8" t="inlineStr">
        <is>
          <t>ドミナリア (2018)</t>
        </is>
      </c>
      <c r="I63" s="8" t="inlineStr">
        <is>
          <t>設置すると毎ターン章が進み、決まった順に効果が出る時限カード。数ターン先の予定表になるため、CPU敵の行動予告の表示形式にも転用できる。</t>
        </is>
      </c>
      <c r="J63" s="11" t="inlineStr">
        <is>
          <t>高</t>
        </is>
      </c>
      <c r="K63" s="8" t="inlineStr">
        <is>
          <t>ターン開始処理</t>
        </is>
      </c>
      <c r="L63" s="12" t="inlineStr">
        <is>
          <t>◎</t>
        </is>
      </c>
      <c r="M63" s="13" t="inlineStr">
        <is>
          <t>【今回実装：英雄譚（章つきのパワー）（`saga`・バッチC2）】（審査時は○）章付きパワー：条件『設置からNターン目』で効果が順に出て最後に消える。パワーの経過ターン管理が要る</t>
        </is>
      </c>
    </row>
    <row r="64" ht="41.5" customHeight="1">
      <c r="A64" s="7" t="n">
        <v>63</v>
      </c>
      <c r="B64" s="8" t="inlineStr">
        <is>
          <t>カードレイアウト</t>
        </is>
      </c>
      <c r="C64" s="8" t="inlineStr">
        <is>
          <t>成長・カウンター</t>
        </is>
      </c>
      <c r="D64" s="9" t="inlineStr">
        <is>
          <t>クラス</t>
        </is>
      </c>
      <c r="E64" s="10" t="inlineStr">
        <is>
          <t>Class</t>
        </is>
      </c>
      <c r="F64" s="7" t="inlineStr">
        <is>
          <t>716</t>
        </is>
      </c>
      <c r="G64" s="8" t="inlineStr">
        <is>
          <t>レベル1の能力から始まり、ソーサリー・タイミングでコストを払うたびに新しい能力が段階的に解放されるエンチャント。</t>
        </is>
      </c>
      <c r="H64" s="8" t="inlineStr">
        <is>
          <t>フォーゴトン・レルム探訪 (2021)</t>
        </is>
      </c>
      <c r="I64" s="8" t="inlineStr">
        <is>
          <t>職業カードとして段階ごとの常在能力を解放していく。いつ解放するかをプレイヤーが決めるため、序盤投資と終盤リターンの配分をポイント設計で表現できる。</t>
        </is>
      </c>
      <c r="J64" s="11" t="inlineStr">
        <is>
          <t>高</t>
        </is>
      </c>
      <c r="K64" s="8" t="inlineStr">
        <is>
          <t>永続設置物</t>
        </is>
      </c>
      <c r="L64" s="12" t="inlineStr">
        <is>
          <t>△</t>
        </is>
      </c>
      <c r="M64" s="13" t="inlineStr">
        <is>
          <t>段階解放は起動型（No.108）が前提。後回し</t>
        </is>
      </c>
    </row>
    <row r="65" ht="37.5" customHeight="1">
      <c r="A65" s="7" t="n">
        <v>64</v>
      </c>
      <c r="B65" s="8" t="inlineStr">
        <is>
          <t>カードレイアウト</t>
        </is>
      </c>
      <c r="C65" s="8" t="inlineStr">
        <is>
          <t>条件ボーナス</t>
        </is>
      </c>
      <c r="D65" s="9" t="inlineStr">
        <is>
          <t>事件</t>
        </is>
      </c>
      <c r="E65" s="10" t="inlineStr">
        <is>
          <t>Case</t>
        </is>
      </c>
      <c r="F65" s="7" t="inlineStr">
        <is>
          <t>719</t>
        </is>
      </c>
      <c r="G65" s="8" t="inlineStr">
        <is>
          <t>設置時の効果に加え、指定条件を満たすと解決済みになり、以後は追加の強力な能力が働くエンチャント。</t>
        </is>
      </c>
      <c r="H65" s="8" t="inlineStr">
        <is>
          <t>カルロフ邸殺人事件 (2024)</t>
        </is>
      </c>
      <c r="I65" s="8" t="inlineStr">
        <is>
          <t>依頼カードとして達成条件を表示し、満たすと報酬能力が常時有効になる。進捗バーを出せるデジタル向きの型で、条件の難しさに応じて報酬ポイントを上乗せする。</t>
        </is>
      </c>
      <c r="J65" s="11" t="inlineStr">
        <is>
          <t>中</t>
        </is>
      </c>
      <c r="K65" s="8" t="inlineStr">
        <is>
          <t>条件判定</t>
        </is>
      </c>
      <c r="L65" s="12" t="inlineStr">
        <is>
          <t>△</t>
        </is>
      </c>
      <c r="M65" s="13" t="inlineStr">
        <is>
          <t>達成条件付きパワー。#154 蓄積カウンターと同じ仕組みで後で</t>
        </is>
      </c>
    </row>
    <row r="66" ht="37.5" customHeight="1">
      <c r="A66" s="7" t="n">
        <v>65</v>
      </c>
      <c r="B66" s="8" t="inlineStr">
        <is>
          <t>カードレイアウト</t>
        </is>
      </c>
      <c r="C66" s="8" t="inlineStr">
        <is>
          <t>成長・カウンター</t>
        </is>
      </c>
      <c r="D66" s="9" t="inlineStr">
        <is>
          <t>配備カード</t>
        </is>
      </c>
      <c r="E66" s="10" t="inlineStr">
        <is>
          <t>Station card</t>
        </is>
      </c>
      <c r="F66" s="7" t="inlineStr">
        <is>
          <t>721</t>
        </is>
      </c>
      <c r="G66" s="8" t="inlineStr">
        <is>
          <t>他のクリーチャーをタップしてそのパワー分の蓄積カウンターを置き、一定数に達すると能力やクリーチャー化が解放される。</t>
        </is>
      </c>
      <c r="H66" s="8" t="inlineStr">
        <is>
          <t>久遠の終端 (2025)</t>
        </is>
      </c>
      <c r="I66" s="8" t="inlineStr">
        <is>
          <t>他ユニットの行動を消費してチャージを溜める大型カード。手番を投資して数ターン後に起動する仕組みで、閾値ごとの能力をポイント表で明示する。</t>
        </is>
      </c>
      <c r="J66" s="11" t="inlineStr">
        <is>
          <t>中</t>
        </is>
      </c>
      <c r="K66" s="8" t="inlineStr">
        <is>
          <t>数値カウンター</t>
        </is>
      </c>
      <c r="L66" s="12" t="inlineStr">
        <is>
          <t>×</t>
        </is>
      </c>
      <c r="M66" s="13" t="inlineStr">
        <is>
          <t>他ユニットのタップ前提</t>
        </is>
      </c>
    </row>
    <row r="67" ht="41.5" customHeight="1">
      <c r="A67" s="7" t="n">
        <v>66</v>
      </c>
      <c r="B67" s="8" t="inlineStr">
        <is>
          <t>カードレイアウト</t>
        </is>
      </c>
      <c r="C67" s="8" t="inlineStr">
        <is>
          <t>反復・再利用</t>
        </is>
      </c>
      <c r="D67" s="9" t="inlineStr">
        <is>
          <t>準備</t>
        </is>
      </c>
      <c r="E67" s="10" t="inlineStr">
        <is>
          <t>Preparation card (prepare spell)</t>
        </is>
      </c>
      <c r="F67" s="7" t="inlineStr">
        <is>
          <t>722</t>
        </is>
      </c>
      <c r="G67" s="8" t="inlineStr">
        <is>
          <t>クリーチャーに準備・呪文が付属し、準備済状態の間はその呪文のコピーを追放領域から1回唱えられる。唱えると未準備状態になる。</t>
        </is>
      </c>
      <c r="H67" s="8" t="inlineStr">
        <is>
          <t>ストリクスヘイヴンの秘密 (2026)</t>
        </is>
      </c>
      <c r="I67" s="8" t="inlineStr">
        <is>
          <t>ユニットが場にいる間だけ使える付属スキルをカード化する。使うと未準備になり、再準備効果で再利用できる。使用回数の管理はデジタルなら容易。</t>
        </is>
      </c>
      <c r="J67" s="11" t="inlineStr">
        <is>
          <t>中</t>
        </is>
      </c>
      <c r="K67" s="8" t="inlineStr">
        <is>
          <t>状態フラグ</t>
        </is>
      </c>
      <c r="L67" s="12" t="inlineStr">
        <is>
          <t>×</t>
        </is>
      </c>
      <c r="M67" s="13" t="inlineStr">
        <is>
          <t>追放からの再使用・状態フラグが重い</t>
        </is>
      </c>
    </row>
    <row r="68" ht="45.5" customHeight="1">
      <c r="A68" s="7" t="n">
        <v>67</v>
      </c>
      <c r="B68" s="8" t="inlineStr">
        <is>
          <t>カードレイアウト</t>
        </is>
      </c>
      <c r="C68" s="8" t="inlineStr">
        <is>
          <t>強化</t>
        </is>
      </c>
      <c r="D68" s="9" t="inlineStr">
        <is>
          <t>宿主・増強（非公式訳）</t>
        </is>
      </c>
      <c r="E68" s="10" t="inlineStr">
        <is>
          <t>Host / Augment</t>
        </is>
      </c>
      <c r="F68" s="7" t="n"/>
      <c r="G68" s="8" t="inlineStr">
        <is>
          <t>上半分だけの増強カードを宿主クリーチャーの上に重ねると、2枚の名前と能力が合わさって1体のクリーチャーになる。Un-セットの仕組み。</t>
        </is>
      </c>
      <c r="H68" s="10" t="inlineStr">
        <is>
          <t>Unstable (2017)</t>
        </is>
      </c>
      <c r="I68" s="8" t="inlineStr">
        <is>
          <t>半分だけのパーツカードを既存ユニットに装着し、名前と能力を合成する。組み合わせごとに新しいカードが生まれ、ポイント合算方式と非常に相性がよい。</t>
        </is>
      </c>
      <c r="J68" s="11" t="inlineStr">
        <is>
          <t>中</t>
        </is>
      </c>
      <c r="K68" s="8" t="inlineStr">
        <is>
          <t>場に残るカード</t>
        </is>
      </c>
      <c r="L68" s="12" t="inlineStr">
        <is>
          <t>×</t>
        </is>
      </c>
      <c r="M68" s="13" t="inlineStr">
        <is>
          <t>名前・能力の合成は重い</t>
        </is>
      </c>
    </row>
    <row r="69" ht="41.5" customHeight="1">
      <c r="A69" s="7" t="n">
        <v>68</v>
      </c>
      <c r="B69" s="8" t="inlineStr">
        <is>
          <t>ゾーン</t>
        </is>
      </c>
      <c r="C69" s="8" t="inlineStr">
        <is>
          <t>ルール基盤</t>
        </is>
      </c>
      <c r="D69" s="9" t="inlineStr">
        <is>
          <t>ライブラリー</t>
        </is>
      </c>
      <c r="E69" s="10" t="inlineStr">
        <is>
          <t>Library</t>
        </is>
      </c>
      <c r="F69" s="7" t="inlineStr">
        <is>
          <t>401</t>
        </is>
      </c>
      <c r="G69" s="8" t="inlineStr">
        <is>
          <t>プレイヤーの山札。裏向きで順番は非公開。ここからカードを引き、空のときに引こうとすると敗北する。</t>
        </is>
      </c>
      <c r="H69" s="8" t="inlineStr">
        <is>
          <t>アルファ (1993)</t>
        </is>
      </c>
      <c r="I69" s="10" t="inlineStr">
        <is>
          <t>StSの山札と同じ。MTGでは山札が尽きると負けるが、対戦ゲームなら「山札切れで疲労ダメージ」など緩い罰則に置き換えると遅延戦術を抑えられる。</t>
        </is>
      </c>
      <c r="J69" s="11" t="inlineStr">
        <is>
          <t>高</t>
        </is>
      </c>
      <c r="K69" s="8" t="inlineStr">
        <is>
          <t>なし</t>
        </is>
      </c>
      <c r="L69" s="12" t="inlineStr">
        <is>
          <t>×</t>
        </is>
      </c>
      <c r="M69" s="13" t="inlineStr">
        <is>
          <t>既存：山札（切れたら捨て札を切り直す）。山札切れ敗北は不要</t>
        </is>
      </c>
    </row>
    <row r="70" ht="41.5" customHeight="1">
      <c r="A70" s="7" t="n">
        <v>69</v>
      </c>
      <c r="B70" s="8" t="inlineStr">
        <is>
          <t>ゾーン</t>
        </is>
      </c>
      <c r="C70" s="8" t="inlineStr">
        <is>
          <t>ドロー・手札</t>
        </is>
      </c>
      <c r="D70" s="9" t="inlineStr">
        <is>
          <t>手札</t>
        </is>
      </c>
      <c r="E70" s="10" t="inlineStr">
        <is>
          <t>Hand</t>
        </is>
      </c>
      <c r="F70" s="7" t="inlineStr">
        <is>
          <t>402</t>
        </is>
      </c>
      <c r="G70" s="8" t="inlineStr">
        <is>
          <t>引いたカードを持つ非公開の領域。クリンナップ・ステップで上限の7枚を超えた分を捨てる。</t>
        </is>
      </c>
      <c r="H70" s="8" t="inlineStr">
        <is>
          <t>アルファ (1993)</t>
        </is>
      </c>
      <c r="I70" s="10" t="inlineStr">
        <is>
          <t>StSと違いターン終了で手札を捨てず持ち越す方式も選べる。持ち越し型は長期計画、全捨て型はテンポ重視になる。カード単位で「保留」能力として選ばせる中間案もある。</t>
        </is>
      </c>
      <c r="J70" s="11" t="inlineStr">
        <is>
          <t>高</t>
        </is>
      </c>
      <c r="K70" s="8" t="inlineStr">
        <is>
          <t>なし</t>
        </is>
      </c>
      <c r="L70" s="12" t="inlineStr">
        <is>
          <t>×</t>
        </is>
      </c>
      <c r="M70" s="13" t="inlineStr">
        <is>
          <t>既存：手札（毎ターン全捨て＋保持）</t>
        </is>
      </c>
    </row>
    <row r="71" ht="41.5" customHeight="1">
      <c r="A71" s="7" t="n">
        <v>70</v>
      </c>
      <c r="B71" s="8" t="inlineStr">
        <is>
          <t>ゾーン</t>
        </is>
      </c>
      <c r="C71" s="8" t="inlineStr">
        <is>
          <t>ルール基盤</t>
        </is>
      </c>
      <c r="D71" s="9" t="inlineStr">
        <is>
          <t>戦場</t>
        </is>
      </c>
      <c r="E71" s="10" t="inlineStr">
        <is>
          <t>Battlefield</t>
        </is>
      </c>
      <c r="F71" s="7" t="inlineStr">
        <is>
          <t>403</t>
        </is>
      </c>
      <c r="G71" s="8" t="inlineStr">
        <is>
          <t>パーマネントが置かれる共有の公開領域。土地やクリーチャー、アーティファクトなどが存在し続ける。</t>
        </is>
      </c>
      <c r="H71" s="8" t="inlineStr">
        <is>
          <t>アルファ (1993)</t>
        </is>
      </c>
      <c r="I71" s="10" t="inlineStr">
        <is>
          <t>StSでは薄い「場に残るカード」の領域。ユニットや装置を置く盤面を作ると、一時効果と永続カードで戦略が分かれる。枠数に上限を設けると画面設計も楽になる。</t>
        </is>
      </c>
      <c r="J71" s="11" t="inlineStr">
        <is>
          <t>中</t>
        </is>
      </c>
      <c r="K71" s="8" t="inlineStr">
        <is>
          <t>盤面UI</t>
        </is>
      </c>
      <c r="L71" s="12" t="inlineStr">
        <is>
          <t>×</t>
        </is>
      </c>
      <c r="M71" s="13" t="inlineStr">
        <is>
          <t>既存：モンスターの場・パワー枠</t>
        </is>
      </c>
    </row>
    <row r="72" ht="41.5" customHeight="1">
      <c r="A72" s="7" t="n">
        <v>71</v>
      </c>
      <c r="B72" s="8" t="inlineStr">
        <is>
          <t>ゾーン</t>
        </is>
      </c>
      <c r="C72" s="8" t="inlineStr">
        <is>
          <t>墓地利用</t>
        </is>
      </c>
      <c r="D72" s="9" t="inlineStr">
        <is>
          <t>墓地</t>
        </is>
      </c>
      <c r="E72" s="10" t="inlineStr">
        <is>
          <t>Graveyard</t>
        </is>
      </c>
      <c r="F72" s="7" t="inlineStr">
        <is>
          <t>404</t>
        </is>
      </c>
      <c r="G72" s="8" t="inlineStr">
        <is>
          <t>使った呪文や死んだクリーチャー、捨てたカードが置かれる公開領域。順番を保ち、再利用の対象になる。</t>
        </is>
      </c>
      <c r="H72" s="8" t="inlineStr">
        <is>
          <t>アルファ (1993)</t>
        </is>
      </c>
      <c r="I72" s="10" t="inlineStr">
        <is>
          <t>StSの捨て札に当たるが、MTGでは山札に戻らず再利用の資源になる。捨て札から回収する効果や枚数を参照する効果を作るなら、一部のカードは捨て札に留まる設計を入れる。</t>
        </is>
      </c>
      <c r="J72" s="11" t="inlineStr">
        <is>
          <t>高</t>
        </is>
      </c>
      <c r="K72" s="8" t="inlineStr">
        <is>
          <t>捨て札ゾーン</t>
        </is>
      </c>
      <c r="L72" s="12" t="inlineStr">
        <is>
          <t>×</t>
        </is>
      </c>
      <c r="M72" s="13" t="inlineStr">
        <is>
          <t>既存：捨て札。活用は条件側（#532スレッショルド・#533宿根）で行う</t>
        </is>
      </c>
    </row>
    <row r="73" ht="41.5" customHeight="1">
      <c r="A73" s="7" t="n">
        <v>72</v>
      </c>
      <c r="B73" s="8" t="inlineStr">
        <is>
          <t>ゾーン</t>
        </is>
      </c>
      <c r="C73" s="8" t="inlineStr">
        <is>
          <t>ルール基盤</t>
        </is>
      </c>
      <c r="D73" s="9" t="inlineStr">
        <is>
          <t>スタック</t>
        </is>
      </c>
      <c r="E73" s="10" t="inlineStr">
        <is>
          <t>Stack</t>
        </is>
      </c>
      <c r="F73" s="7" t="inlineStr">
        <is>
          <t>405</t>
        </is>
      </c>
      <c r="G73" s="8" t="inlineStr">
        <is>
          <t>唱えた呪文や誘発した能力が解決を待つ領域。最後に置かれたものから順に解決される。</t>
        </is>
      </c>
      <c r="H73" s="8" t="inlineStr">
        <is>
          <t>第6版 (1999)</t>
        </is>
      </c>
      <c r="I73" s="8" t="inlineStr">
        <is>
          <t>相手が対応してカードを重ねる割り込み合戦の基盤。オンラインでは通信待ちが増えるため、対応できるカードを限定し、応答は1回までの簡易スタックにするのが現実的。</t>
        </is>
      </c>
      <c r="J73" s="11" t="inlineStr">
        <is>
          <t>低</t>
        </is>
      </c>
      <c r="K73" s="8" t="inlineStr">
        <is>
          <t>割り込みタイミング</t>
        </is>
      </c>
      <c r="L73" s="12" t="inlineStr">
        <is>
          <t>×</t>
        </is>
      </c>
      <c r="M73" s="13" t="inlineStr">
        <is>
          <t>スタック・割り込みはこのゲームに無い</t>
        </is>
      </c>
    </row>
    <row r="74" ht="41.5" customHeight="1">
      <c r="A74" s="7" t="n">
        <v>73</v>
      </c>
      <c r="B74" s="8" t="inlineStr">
        <is>
          <t>ゾーン</t>
        </is>
      </c>
      <c r="C74" s="8" t="inlineStr">
        <is>
          <t>除去</t>
        </is>
      </c>
      <c r="D74" s="9" t="inlineStr">
        <is>
          <t>追放</t>
        </is>
      </c>
      <c r="E74" s="10" t="inlineStr">
        <is>
          <t>Exile</t>
        </is>
      </c>
      <c r="F74" s="7" t="inlineStr">
        <is>
          <t>406</t>
        </is>
      </c>
      <c r="G74" s="8" t="inlineStr">
        <is>
          <t>ゲームから取り除かれたカードの領域。原則戻らないが、一時的に追放して後で使う効果も多い。</t>
        </is>
      </c>
      <c r="H74" s="8" t="inlineStr">
        <is>
          <t>アルファ (1993)</t>
        </is>
      </c>
      <c r="I74" s="10" t="inlineStr">
        <is>
          <t>StSの廃棄に当たる。強力な使い切りカードは廃棄送りにしてポイントを割り引く。一部のカードで廃棄から帰還させると、廃棄も資源になる。</t>
        </is>
      </c>
      <c r="J74" s="11" t="inlineStr">
        <is>
          <t>高</t>
        </is>
      </c>
      <c r="K74" s="8" t="inlineStr">
        <is>
          <t>廃棄ゾーン</t>
        </is>
      </c>
      <c r="L74" s="12" t="inlineStr">
        <is>
          <t>◎</t>
        </is>
      </c>
      <c r="M74" s="13" t="inlineStr">
        <is>
          <t>【今回実装：廃棄】今回実装 デメリット『廃棄』exhaust：使ったあと捨て札でなく除外（呪文のみ）</t>
        </is>
      </c>
    </row>
    <row r="75" ht="37.5" customHeight="1">
      <c r="A75" s="7" t="n">
        <v>74</v>
      </c>
      <c r="B75" s="8" t="inlineStr">
        <is>
          <t>ゾーン</t>
        </is>
      </c>
      <c r="C75" s="8" t="inlineStr">
        <is>
          <t>ルール基盤</t>
        </is>
      </c>
      <c r="D75" s="9" t="inlineStr">
        <is>
          <t>統率領域</t>
        </is>
      </c>
      <c r="E75" s="10" t="inlineStr">
        <is>
          <t>Command zone</t>
        </is>
      </c>
      <c r="F75" s="7" t="inlineStr">
        <is>
          <t>408</t>
        </is>
      </c>
      <c r="G75" s="8" t="inlineStr">
        <is>
          <t>統率者や紋章、次元、計略などを置く特殊な領域。ここにあるものはゲーム全体に作用し続ける。</t>
        </is>
      </c>
      <c r="H75" s="8" t="inlineStr">
        <is>
          <t>プレインチェイス (2009)</t>
        </is>
      </c>
      <c r="I75" s="8" t="inlineStr">
        <is>
          <t>盤面外の常設枠。リーダーカード、獲得した恒久バフ、フィールド効果をまとめて表示する領域として設計すれば、除去されない効果の置き場になる。</t>
        </is>
      </c>
      <c r="J75" s="11" t="inlineStr">
        <is>
          <t>中</t>
        </is>
      </c>
      <c r="K75" s="8" t="inlineStr">
        <is>
          <t>常設UI枠</t>
        </is>
      </c>
      <c r="L75" s="12" t="inlineStr">
        <is>
          <t>×</t>
        </is>
      </c>
      <c r="M75" s="13" t="inlineStr">
        <is>
          <t>統率領域・常設枠は前提が無い</t>
        </is>
      </c>
    </row>
    <row r="76" ht="41.5" customHeight="1">
      <c r="A76" s="7" t="n">
        <v>75</v>
      </c>
      <c r="B76" s="8" t="inlineStr">
        <is>
          <t>ゾーン</t>
        </is>
      </c>
      <c r="C76" s="8" t="inlineStr">
        <is>
          <t>多人数・交流</t>
        </is>
      </c>
      <c r="D76" s="9" t="inlineStr">
        <is>
          <t>アンティ</t>
        </is>
      </c>
      <c r="E76" s="10" t="inlineStr">
        <is>
          <t>Ante</t>
        </is>
      </c>
      <c r="F76" s="7" t="inlineStr">
        <is>
          <t>407</t>
        </is>
      </c>
      <c r="G76" s="8" t="inlineStr">
        <is>
          <t>開始時に各自のデッキから1枚を賭け、勝者が所有権を得る初期のルールと領域。現在は公式に禁止されている。</t>
        </is>
      </c>
      <c r="H76" s="8" t="inlineStr">
        <is>
          <t>アルファ (1993)</t>
        </is>
      </c>
      <c r="I76" s="8" t="inlineStr">
        <is>
          <t>実カードの賭けは避けるべきだが、勝利報酬として「相手デッキのカード1枚の複製を獲得」は可能。賭博と誤解されないよう、所有権や課金通貨は動かさない方が安全。</t>
        </is>
      </c>
      <c r="J76" s="11" t="inlineStr">
        <is>
          <t>中</t>
        </is>
      </c>
      <c r="K76" s="8" t="inlineStr">
        <is>
          <t>アカウント・報酬</t>
        </is>
      </c>
      <c r="L76" s="12" t="inlineStr">
        <is>
          <t>×</t>
        </is>
      </c>
      <c r="M76" s="13" t="inlineStr">
        <is>
          <t>賭け・所有権の移動は不採用</t>
        </is>
      </c>
    </row>
    <row r="77" ht="41.5" customHeight="1">
      <c r="A77" s="7" t="n">
        <v>76</v>
      </c>
      <c r="B77" s="8" t="inlineStr">
        <is>
          <t>ゾーン</t>
        </is>
      </c>
      <c r="C77" s="8" t="inlineStr">
        <is>
          <t>デッキ構築</t>
        </is>
      </c>
      <c r="D77" s="9" t="inlineStr">
        <is>
          <t>サイドボード（ゲームの外部）</t>
        </is>
      </c>
      <c r="E77" s="10" t="inlineStr">
        <is>
          <t>Sideboard</t>
        </is>
      </c>
      <c r="F77" s="7" t="inlineStr">
        <is>
          <t>100.4</t>
        </is>
      </c>
      <c r="G77" s="8" t="inlineStr">
        <is>
          <t>デッキとは別に持つ控えのカード。試合間の入れ替えや、ゲーム外からカードを持ち込む効果に使う。</t>
        </is>
      </c>
      <c r="H77" s="8" t="n"/>
      <c r="I77" s="8" t="inlineStr">
        <is>
          <t>試合間にメインと入れ替えられる控え枠。3本勝負で相手に合わせた調整ができる。控えの枚数上限と、控えからカードを呼ぶ効果のポイント単価を決めておく。</t>
        </is>
      </c>
      <c r="J77" s="11" t="inlineStr">
        <is>
          <t>中</t>
        </is>
      </c>
      <c r="K77" s="10" t="inlineStr">
        <is>
          <t>BO3・デッキ編集</t>
        </is>
      </c>
      <c r="L77" s="12" t="inlineStr">
        <is>
          <t>×</t>
        </is>
      </c>
      <c r="M77" s="13" t="inlineStr">
        <is>
          <t>BO3・サイドボードの仕組みが無い</t>
        </is>
      </c>
    </row>
    <row r="78" ht="45.5" customHeight="1">
      <c r="A78" s="7" t="n">
        <v>77</v>
      </c>
      <c r="B78" s="8" t="inlineStr">
        <is>
          <t>ターン構造</t>
        </is>
      </c>
      <c r="C78" s="8" t="inlineStr">
        <is>
          <t>ルール基盤</t>
        </is>
      </c>
      <c r="D78" s="9" t="inlineStr">
        <is>
          <t>ターン（フェイズとステップ）</t>
        </is>
      </c>
      <c r="E78" s="10" t="inlineStr">
        <is>
          <t>Turn structure</t>
        </is>
      </c>
      <c r="F78" s="7" t="inlineStr">
        <is>
          <t>500</t>
        </is>
      </c>
      <c r="G78" s="8" t="inlineStr">
        <is>
          <t>ターンは開始・戦闘前メイン・戦闘・戦闘後メイン・終了の5フェイズからなり、一部はさらにステップに分かれる。</t>
        </is>
      </c>
      <c r="H78" s="8" t="inlineStr">
        <is>
          <t>アルファ (1993)</t>
        </is>
      </c>
      <c r="I78" s="8" t="inlineStr">
        <is>
          <t>誘発タイミングの基準点を決める設計図として流用する。まずはターン開始時・行動フェイズ・ターン終了時の3点に絞ると、カード効果の記述とCPUの処理が単純になる。</t>
        </is>
      </c>
      <c r="J78" s="11" t="inlineStr">
        <is>
          <t>高</t>
        </is>
      </c>
      <c r="K78" s="8" t="inlineStr">
        <is>
          <t>なし</t>
        </is>
      </c>
      <c r="L78" s="12" t="inlineStr">
        <is>
          <t>×</t>
        </is>
      </c>
      <c r="M78" s="13" t="inlineStr">
        <is>
          <t>既存：ターン開始・行動・ターン終了のタイミング</t>
        </is>
      </c>
    </row>
    <row r="79" ht="41.5" customHeight="1">
      <c r="A79" s="7" t="n">
        <v>78</v>
      </c>
      <c r="B79" s="8" t="inlineStr">
        <is>
          <t>ターン構造</t>
        </is>
      </c>
      <c r="C79" s="8" t="inlineStr">
        <is>
          <t>ルール基盤</t>
        </is>
      </c>
      <c r="D79" s="9" t="inlineStr">
        <is>
          <t>アンタップ・ステップ</t>
        </is>
      </c>
      <c r="E79" s="10" t="inlineStr">
        <is>
          <t>Untap step</t>
        </is>
      </c>
      <c r="F79" s="7" t="inlineStr">
        <is>
          <t>502</t>
        </is>
      </c>
      <c r="G79" s="8" t="inlineStr">
        <is>
          <t>ターン開始直後に、アクティブ・プレイヤーのパーマネントをすべてアンタップする。誰も呪文を唱えられない。</t>
        </is>
      </c>
      <c r="H79" s="8" t="inlineStr">
        <is>
          <t>アルファ (1993)</t>
        </is>
      </c>
      <c r="I79" s="8" t="inlineStr">
        <is>
          <t>毎ターンの行動権リセット。使用済みのカードを再び使えるようにする処理として実装し、リセットを1回飛ばす凍結デバフを作る余地を残す。</t>
        </is>
      </c>
      <c r="J79" s="11" t="inlineStr">
        <is>
          <t>高</t>
        </is>
      </c>
      <c r="K79" s="8" t="inlineStr">
        <is>
          <t>使用済み状態</t>
        </is>
      </c>
      <c r="L79" s="12" t="inlineStr">
        <is>
          <t>×</t>
        </is>
      </c>
      <c r="M79" s="13" t="inlineStr">
        <is>
          <t>既存：攻撃権の毎ターン回復＋凍結</t>
        </is>
      </c>
    </row>
    <row r="80" ht="37.5" customHeight="1">
      <c r="A80" s="7" t="n">
        <v>79</v>
      </c>
      <c r="B80" s="8" t="inlineStr">
        <is>
          <t>ターン構造</t>
        </is>
      </c>
      <c r="C80" s="8" t="inlineStr">
        <is>
          <t>反復・再利用</t>
        </is>
      </c>
      <c r="D80" s="9" t="inlineStr">
        <is>
          <t>アップキープ・ステップ</t>
        </is>
      </c>
      <c r="E80" s="10" t="inlineStr">
        <is>
          <t>Upkeep step</t>
        </is>
      </c>
      <c r="F80" s="7" t="inlineStr">
        <is>
          <t>503</t>
        </is>
      </c>
      <c r="G80" s="8" t="inlineStr">
        <is>
          <t>ターン開始時の誘発を処理するステップ。維持コストや毎ターン起きる効果がここで誘発する。</t>
        </is>
      </c>
      <c r="H80" s="8" t="inlineStr">
        <is>
          <t>アルファ (1993)</t>
        </is>
      </c>
      <c r="I80" s="8" t="inlineStr">
        <is>
          <t>ターン開始時効果の標準タイミング。毎ターンの維持費を要求するカードも作れる。維持費は長期的な負担なので、本体のポイントを割り引く根拠になる。</t>
        </is>
      </c>
      <c r="J80" s="11" t="inlineStr">
        <is>
          <t>高</t>
        </is>
      </c>
      <c r="K80" s="8" t="inlineStr">
        <is>
          <t>ターン開始処理</t>
        </is>
      </c>
      <c r="L80" s="12" t="inlineStr">
        <is>
          <t>×</t>
        </is>
      </c>
      <c r="M80" s="13" t="inlineStr">
        <is>
          <t>既存：ターン開始時のタイミング／デメリット『維持費』</t>
        </is>
      </c>
    </row>
    <row r="81" ht="41.5" customHeight="1">
      <c r="A81" s="7" t="n">
        <v>80</v>
      </c>
      <c r="B81" s="8" t="inlineStr">
        <is>
          <t>ターン構造</t>
        </is>
      </c>
      <c r="C81" s="8" t="inlineStr">
        <is>
          <t>ドロー・手札</t>
        </is>
      </c>
      <c r="D81" s="9" t="inlineStr">
        <is>
          <t>ドロー・ステップ</t>
        </is>
      </c>
      <c r="E81" s="10" t="inlineStr">
        <is>
          <t>Draw step</t>
        </is>
      </c>
      <c r="F81" s="7" t="inlineStr">
        <is>
          <t>504</t>
        </is>
      </c>
      <c r="G81" s="8" t="inlineStr">
        <is>
          <t>カードを1枚引くステップ。2人対戦の先攻プレイヤーは最初のターンに引かない。</t>
        </is>
      </c>
      <c r="H81" s="8" t="inlineStr">
        <is>
          <t>アルファ (1993)</t>
        </is>
      </c>
      <c r="I81" s="8" t="inlineStr">
        <is>
          <t>毎ターンの基本ドロー。StS型の毎ターン引き直しと違い1枚ずつ増える方式にすると手札管理型になる。先攻有利の補正として後攻に追加ドローやエネルギーを与えるのが定番。</t>
        </is>
      </c>
      <c r="J81" s="11" t="inlineStr">
        <is>
          <t>高</t>
        </is>
      </c>
      <c r="K81" s="8" t="inlineStr">
        <is>
          <t>なし</t>
        </is>
      </c>
      <c r="L81" s="12" t="inlineStr">
        <is>
          <t>×</t>
        </is>
      </c>
      <c r="M81" s="13" t="inlineStr">
        <is>
          <t>既存：毎ターン5枚ドロー</t>
        </is>
      </c>
    </row>
    <row r="82" ht="41.5" customHeight="1">
      <c r="A82" s="7" t="n">
        <v>81</v>
      </c>
      <c r="B82" s="8" t="inlineStr">
        <is>
          <t>ターン構造</t>
        </is>
      </c>
      <c r="C82" s="8" t="inlineStr">
        <is>
          <t>ルール基盤</t>
        </is>
      </c>
      <c r="D82" s="9" t="inlineStr">
        <is>
          <t>戦闘前メイン・フェイズ</t>
        </is>
      </c>
      <c r="E82" s="10" t="inlineStr">
        <is>
          <t>Precombat main phase</t>
        </is>
      </c>
      <c r="F82" s="7" t="inlineStr">
        <is>
          <t>505</t>
        </is>
      </c>
      <c r="G82" s="8" t="inlineStr">
        <is>
          <t>ターン最初のメイン・フェイズ。土地をプレイし、ソーサリー・タイミングの呪文や能力を使える。</t>
        </is>
      </c>
      <c r="H82" s="8" t="inlineStr">
        <is>
          <t>アルファ (1993)</t>
        </is>
      </c>
      <c r="I82" s="8" t="inlineStr">
        <is>
          <t>プレイヤーが主に行動するフェイズ。戦闘を挟む2回メイン制にすると「攻撃前に強化するか、結果を見てから出すか」の選択が生まれる。</t>
        </is>
      </c>
      <c r="J82" s="11" t="inlineStr">
        <is>
          <t>高</t>
        </is>
      </c>
      <c r="K82" s="8" t="inlineStr">
        <is>
          <t>なし</t>
        </is>
      </c>
      <c r="L82" s="12" t="inlineStr">
        <is>
          <t>×</t>
        </is>
      </c>
      <c r="M82" s="13" t="inlineStr">
        <is>
          <t>フェイズ分割なし。カードと攻撃は自由な順で行える</t>
        </is>
      </c>
    </row>
    <row r="83" ht="37.5" customHeight="1">
      <c r="A83" s="7" t="n">
        <v>82</v>
      </c>
      <c r="B83" s="8" t="inlineStr">
        <is>
          <t>ターン構造</t>
        </is>
      </c>
      <c r="C83" s="8" t="inlineStr">
        <is>
          <t>妨害</t>
        </is>
      </c>
      <c r="D83" s="9" t="inlineStr">
        <is>
          <t>戦闘開始ステップ</t>
        </is>
      </c>
      <c r="E83" s="10" t="inlineStr">
        <is>
          <t>Beginning of combat step</t>
        </is>
      </c>
      <c r="F83" s="7" t="inlineStr">
        <is>
          <t>507</t>
        </is>
      </c>
      <c r="G83" s="8" t="inlineStr">
        <is>
          <t>戦闘フェイズ最初のステップ。攻撃の宣言前に呪文を使ったり、戦闘開始時の誘発を処理したりする。</t>
        </is>
      </c>
      <c r="H83" s="8" t="inlineStr">
        <is>
          <t>アルファ (1993)</t>
        </is>
      </c>
      <c r="I83" s="8" t="inlineStr">
        <is>
          <t>攻撃宣言の直前に割り込む機会。相手ユニットを先に凍結させるなどの防御策を差し込める。オンラインでは自動パスを既定にして待ち時間を減らす。</t>
        </is>
      </c>
      <c r="J83" s="11" t="inlineStr">
        <is>
          <t>中</t>
        </is>
      </c>
      <c r="K83" s="8" t="inlineStr">
        <is>
          <t>戦闘フェイズ</t>
        </is>
      </c>
      <c r="L83" s="12" t="inlineStr">
        <is>
          <t>×</t>
        </is>
      </c>
      <c r="M83" s="13" t="inlineStr">
        <is>
          <t>相手ターンに割り込む仕組みが無い</t>
        </is>
      </c>
    </row>
    <row r="84" ht="41.5" customHeight="1">
      <c r="A84" s="7" t="n">
        <v>83</v>
      </c>
      <c r="B84" s="8" t="inlineStr">
        <is>
          <t>ターン構造</t>
        </is>
      </c>
      <c r="C84" s="8" t="inlineStr">
        <is>
          <t>攻撃</t>
        </is>
      </c>
      <c r="D84" s="9" t="inlineStr">
        <is>
          <t>攻撃クリーチャー指定ステップ</t>
        </is>
      </c>
      <c r="E84" s="10" t="inlineStr">
        <is>
          <t>Declare attackers step</t>
        </is>
      </c>
      <c r="F84" s="7" t="inlineStr">
        <is>
          <t>508</t>
        </is>
      </c>
      <c r="G84" s="8" t="inlineStr">
        <is>
          <t>アクティブ・プレイヤーが攻撃するクリーチャーと攻撃先（プレイヤー、PW、バトル）を選ぶ。</t>
        </is>
      </c>
      <c r="H84" s="8" t="inlineStr">
        <is>
          <t>アルファ (1993)</t>
        </is>
      </c>
      <c r="I84" s="8" t="inlineStr">
        <is>
          <t>誰がどこを攻撃するかの選択UI。本体・召喚ユニット・攻略目標など複数の攻撃先を用意すると、ダメージの分散と集中の判断が生まれる。</t>
        </is>
      </c>
      <c r="J84" s="11" t="inlineStr">
        <is>
          <t>中</t>
        </is>
      </c>
      <c r="K84" s="8" t="inlineStr">
        <is>
          <t>攻撃・ブロック</t>
        </is>
      </c>
      <c r="L84" s="12" t="inlineStr">
        <is>
          <t>×</t>
        </is>
      </c>
      <c r="M84" s="13" t="inlineStr">
        <is>
          <t>既存：プレイヤーかモンスターを選んで攻撃</t>
        </is>
      </c>
    </row>
    <row r="85" ht="41.5" customHeight="1">
      <c r="A85" s="7" t="n">
        <v>84</v>
      </c>
      <c r="B85" s="8" t="inlineStr">
        <is>
          <t>ターン構造</t>
        </is>
      </c>
      <c r="C85" s="8" t="inlineStr">
        <is>
          <t>防御</t>
        </is>
      </c>
      <c r="D85" s="9" t="inlineStr">
        <is>
          <t>ブロック・クリーチャー指定ステップ</t>
        </is>
      </c>
      <c r="E85" s="10" t="inlineStr">
        <is>
          <t>Declare blockers step</t>
        </is>
      </c>
      <c r="F85" s="7" t="inlineStr">
        <is>
          <t>509</t>
        </is>
      </c>
      <c r="G85" s="8" t="inlineStr">
        <is>
          <t>防御側が攻撃クリーチャーをブロックするクリーチャーを選ぶ。複数で1体を止めることもできる。</t>
        </is>
      </c>
      <c r="H85" s="8" t="inlineStr">
        <is>
          <t>アルファ (1993)</t>
        </is>
      </c>
      <c r="I85" s="10" t="inlineStr">
        <is>
          <t>StSのブロック値とは別の防御手段。ユニットで攻撃を受け止める方式を入れるなら、ブロッカーの自動割り当てを選べるようにするとオンラインの手間が減る。</t>
        </is>
      </c>
      <c r="J85" s="11" t="inlineStr">
        <is>
          <t>中</t>
        </is>
      </c>
      <c r="K85" s="8" t="inlineStr">
        <is>
          <t>攻撃・ブロック</t>
        </is>
      </c>
      <c r="L85" s="12" t="inlineStr">
        <is>
          <t>×</t>
        </is>
      </c>
      <c r="M85" s="13" t="inlineStr">
        <is>
          <t>ブロック無し（反撃・挑発で代替済み）</t>
        </is>
      </c>
    </row>
    <row r="86" ht="37.5" customHeight="1">
      <c r="A86" s="7" t="n">
        <v>85</v>
      </c>
      <c r="B86" s="8" t="inlineStr">
        <is>
          <t>ターン構造</t>
        </is>
      </c>
      <c r="C86" s="8" t="inlineStr">
        <is>
          <t>攻撃</t>
        </is>
      </c>
      <c r="D86" s="9" t="inlineStr">
        <is>
          <t>戦闘ダメージ・ステップ</t>
        </is>
      </c>
      <c r="E86" s="10" t="inlineStr">
        <is>
          <t>Combat damage step</t>
        </is>
      </c>
      <c r="F86" s="7" t="inlineStr">
        <is>
          <t>510</t>
        </is>
      </c>
      <c r="G86" s="8" t="inlineStr">
        <is>
          <t>攻撃・ブロック・クリーチャーが同時にダメージを与える。先制攻撃を持つものがいれば2回に分かれる。</t>
        </is>
      </c>
      <c r="H86" s="8" t="inlineStr">
        <is>
          <t>アルファ (1993)</t>
        </is>
      </c>
      <c r="I86" s="8" t="inlineStr">
        <is>
          <t>同時ダメージと先手ダメージを区別すると速攻型ユニットに価値が出る。計算は全自動にし、ログで内訳を見せるとプレイヤーの納得感が上がる。</t>
        </is>
      </c>
      <c r="J86" s="11" t="inlineStr">
        <is>
          <t>中</t>
        </is>
      </c>
      <c r="K86" s="8" t="inlineStr">
        <is>
          <t>攻撃・ブロック</t>
        </is>
      </c>
      <c r="L86" s="12" t="inlineStr">
        <is>
          <t>×</t>
        </is>
      </c>
      <c r="M86" s="13" t="inlineStr">
        <is>
          <t>既存：攻撃と反撃は同時解決。先制攻撃はキーワード側の項目で扱う</t>
        </is>
      </c>
    </row>
    <row r="87" ht="37.5" customHeight="1">
      <c r="A87" s="7" t="n">
        <v>86</v>
      </c>
      <c r="B87" s="8" t="inlineStr">
        <is>
          <t>ターン構造</t>
        </is>
      </c>
      <c r="C87" s="8" t="inlineStr">
        <is>
          <t>その他</t>
        </is>
      </c>
      <c r="D87" s="9" t="inlineStr">
        <is>
          <t>戦闘終了ステップ</t>
        </is>
      </c>
      <c r="E87" s="10" t="inlineStr">
        <is>
          <t>End of combat step</t>
        </is>
      </c>
      <c r="F87" s="7" t="inlineStr">
        <is>
          <t>511</t>
        </is>
      </c>
      <c r="G87" s="8" t="inlineStr">
        <is>
          <t>戦闘の後始末のステップ。戦闘終了時の誘発や、戦闘中だけ有効だった効果の処理を扱う。</t>
        </is>
      </c>
      <c r="H87" s="8" t="inlineStr">
        <is>
          <t>アルファ (1993)</t>
        </is>
      </c>
      <c r="I87" s="8" t="inlineStr">
        <is>
          <t>戦闘後に戻る・消える一時ユニットの処理タイミング。「攻撃後に手札へ戻る」効果を作るとヒット・アンド・アウェイ型の戦術が成立する。</t>
        </is>
      </c>
      <c r="J87" s="11" t="inlineStr">
        <is>
          <t>高</t>
        </is>
      </c>
      <c r="K87" s="8" t="inlineStr">
        <is>
          <t>戦闘フェイズ</t>
        </is>
      </c>
      <c r="L87" s="12" t="inlineStr">
        <is>
          <t>◎</t>
        </is>
      </c>
      <c r="M87" s="13" t="inlineStr">
        <is>
          <t>【今回実装：キーワード『一撃離脱』（`hitAndRun`・バッチB）】（審査時は○）キーワード『一撃離脱』：攻撃後に手札へ戻る（召喚時効果の再利用）。±0〜+6pt</t>
        </is>
      </c>
    </row>
    <row r="88" ht="37.5" customHeight="1">
      <c r="A88" s="7" t="n">
        <v>87</v>
      </c>
      <c r="B88" s="8" t="inlineStr">
        <is>
          <t>ターン構造</t>
        </is>
      </c>
      <c r="C88" s="8" t="inlineStr">
        <is>
          <t>ルール基盤</t>
        </is>
      </c>
      <c r="D88" s="9" t="inlineStr">
        <is>
          <t>戦闘後メイン・フェイズ</t>
        </is>
      </c>
      <c r="E88" s="10" t="inlineStr">
        <is>
          <t>Postcombat main phase</t>
        </is>
      </c>
      <c r="F88" s="7" t="inlineStr">
        <is>
          <t>505</t>
        </is>
      </c>
      <c r="G88" s="8" t="inlineStr">
        <is>
          <t>戦闘の後にある2回目のメイン・フェイズ。戦闘の結果を見てから呪文や土地を使える。</t>
        </is>
      </c>
      <c r="H88" s="8" t="inlineStr">
        <is>
          <t>アルファ (1993)</t>
        </is>
      </c>
      <c r="I88" s="8" t="inlineStr">
        <is>
          <t>攻撃結果を見てからカードを使える後半の行動枠。情報を得た後に動ける価値があるため、「戦闘後にのみ使える」制限付きカードは少し安く設計できる。</t>
        </is>
      </c>
      <c r="J88" s="11" t="inlineStr">
        <is>
          <t>高</t>
        </is>
      </c>
      <c r="K88" s="8" t="inlineStr">
        <is>
          <t>戦闘フェイズ</t>
        </is>
      </c>
      <c r="L88" s="12" t="inlineStr">
        <is>
          <t>×</t>
        </is>
      </c>
      <c r="M88" s="13" t="inlineStr">
        <is>
          <t>フェイズ分割なし（既に戦闘後にカードを使える）</t>
        </is>
      </c>
    </row>
    <row r="89" ht="37.5" customHeight="1">
      <c r="A89" s="7" t="n">
        <v>88</v>
      </c>
      <c r="B89" s="8" t="inlineStr">
        <is>
          <t>ターン構造</t>
        </is>
      </c>
      <c r="C89" s="8" t="inlineStr">
        <is>
          <t>反復・再利用</t>
        </is>
      </c>
      <c r="D89" s="9" t="inlineStr">
        <is>
          <t>終了ステップ</t>
        </is>
      </c>
      <c r="E89" s="10" t="inlineStr">
        <is>
          <t>End step</t>
        </is>
      </c>
      <c r="F89" s="7" t="inlineStr">
        <is>
          <t>513</t>
        </is>
      </c>
      <c r="G89" s="8" t="inlineStr">
        <is>
          <t>ターン終了時の誘発を処理するステップ。「次の終了ステップの開始時に」という遅延効果もここで起きる。</t>
        </is>
      </c>
      <c r="H89" s="8" t="inlineStr">
        <is>
          <t>アルファ (1993)</t>
        </is>
      </c>
      <c r="I89" s="8" t="inlineStr">
        <is>
          <t>ターン終了時効果の標準タイミング。一時的に出したユニットを終了時に消す、終了時に毒ダメージを与えるなど、遅延効果の置き場として最も使いやすい。</t>
        </is>
      </c>
      <c r="J89" s="11" t="inlineStr">
        <is>
          <t>高</t>
        </is>
      </c>
      <c r="K89" s="8" t="inlineStr">
        <is>
          <t>ターン終了処理</t>
        </is>
      </c>
      <c r="L89" s="12" t="inlineStr">
        <is>
          <t>×</t>
        </is>
      </c>
      <c r="M89" s="13" t="inlineStr">
        <is>
          <t>既存：ターン終了時のタイミング</t>
        </is>
      </c>
    </row>
    <row r="90" ht="41.5" customHeight="1">
      <c r="A90" s="7" t="n">
        <v>89</v>
      </c>
      <c r="B90" s="8" t="inlineStr">
        <is>
          <t>ターン構造</t>
        </is>
      </c>
      <c r="C90" s="8" t="inlineStr">
        <is>
          <t>ルール基盤</t>
        </is>
      </c>
      <c r="D90" s="9" t="inlineStr">
        <is>
          <t>クリンナップ・ステップ</t>
        </is>
      </c>
      <c r="E90" s="10" t="inlineStr">
        <is>
          <t>Cleanup step</t>
        </is>
      </c>
      <c r="F90" s="7" t="inlineStr">
        <is>
          <t>514</t>
        </is>
      </c>
      <c r="G90" s="8" t="inlineStr">
        <is>
          <t>手札を上限まで捨て、クリーチャーのダメージを取り除き、ターン終了までの効果を終わらせる。</t>
        </is>
      </c>
      <c r="H90" s="8" t="inlineStr">
        <is>
          <t>アルファ (1993)</t>
        </is>
      </c>
      <c r="I90" s="8" t="inlineStr">
        <is>
          <t>ターン中の一時効果とダメージを一括でリセットする処理。StSのブロック値の消滅もここに置ける。リセットされない持続ダメージを例外にすれば、毒など継続系との違いが明確になる。</t>
        </is>
      </c>
      <c r="J90" s="11" t="inlineStr">
        <is>
          <t>高</t>
        </is>
      </c>
      <c r="K90" s="8" t="inlineStr">
        <is>
          <t>なし</t>
        </is>
      </c>
      <c r="L90" s="12" t="inlineStr">
        <is>
          <t>×</t>
        </is>
      </c>
      <c r="M90" s="13" t="inlineStr">
        <is>
          <t>既存：ターン終了処理（手札全捨て・一時効果の消滅）</t>
        </is>
      </c>
    </row>
    <row r="91" ht="41.5" customHeight="1">
      <c r="A91" s="7" t="n">
        <v>90</v>
      </c>
      <c r="B91" s="8" t="inlineStr">
        <is>
          <t>ターン構造</t>
        </is>
      </c>
      <c r="C91" s="8" t="inlineStr">
        <is>
          <t>その他</t>
        </is>
      </c>
      <c r="D91" s="9" t="inlineStr">
        <is>
          <t>追加ターン</t>
        </is>
      </c>
      <c r="E91" s="10" t="inlineStr">
        <is>
          <t>Extra turn</t>
        </is>
      </c>
      <c r="F91" s="7" t="inlineStr">
        <is>
          <t>500.7</t>
        </is>
      </c>
      <c r="G91" s="8" t="inlineStr">
        <is>
          <t>現在のターンの後にもう一度自分のターンを行う効果。非常に強力なため多くは高コストか使い切り。</t>
        </is>
      </c>
      <c r="H91" s="8" t="inlineStr">
        <is>
          <t>アルファ (1993)</t>
        </is>
      </c>
      <c r="I91" s="8" t="inlineStr">
        <is>
          <t>オンライン対戦では相手の待ち時間が延びるため、ポイントを非常に高くし、1試合1回までの制限を付けるのが安全。CPU戦専用の報酬効果にする手もある。</t>
        </is>
      </c>
      <c r="J91" s="11" t="inlineStr">
        <is>
          <t>中</t>
        </is>
      </c>
      <c r="K91" s="8" t="inlineStr">
        <is>
          <t>ターン管理</t>
        </is>
      </c>
      <c r="L91" s="12" t="inlineStr">
        <is>
          <t>△</t>
        </is>
      </c>
      <c r="M91" s="13" t="inlineStr">
        <is>
          <t>効果『追加ターン』レジェンド限定・1試合1回・高額(60pt+)。オンラインの待ちに注意</t>
        </is>
      </c>
    </row>
    <row r="92" ht="37.5" customHeight="1">
      <c r="A92" s="7" t="n">
        <v>91</v>
      </c>
      <c r="B92" s="8" t="inlineStr">
        <is>
          <t>ターン構造</t>
        </is>
      </c>
      <c r="C92" s="8" t="inlineStr">
        <is>
          <t>攻撃</t>
        </is>
      </c>
      <c r="D92" s="9" t="inlineStr">
        <is>
          <t>追加の戦闘フェイズ</t>
        </is>
      </c>
      <c r="E92" s="10" t="inlineStr">
        <is>
          <t>Additional combat phase</t>
        </is>
      </c>
      <c r="F92" s="7" t="inlineStr">
        <is>
          <t>500.8</t>
        </is>
      </c>
      <c r="G92" s="8" t="inlineStr">
        <is>
          <t>メイン・フェイズの後にもう一度戦闘フェイズを行う効果。攻撃の回数が増える。</t>
        </is>
      </c>
      <c r="H92" s="8" t="n"/>
      <c r="I92" s="8" t="inlineStr">
        <is>
          <t>もう一度攻撃できる効果。ダメージ倍増に近い価値があるため、攻撃値の合計に応じてポイントを変えるか、既に行動したユニットは参加できない制限を付ける。</t>
        </is>
      </c>
      <c r="J92" s="11" t="inlineStr">
        <is>
          <t>中</t>
        </is>
      </c>
      <c r="K92" s="8" t="inlineStr">
        <is>
          <t>戦闘フェイズ</t>
        </is>
      </c>
      <c r="L92" s="12" t="inlineStr">
        <is>
          <t>◎</t>
        </is>
      </c>
      <c r="M92" s="13" t="inlineStr">
        <is>
          <t>【今回実装：再行動】今回実装 効果『再行動』ready：自分のモンスター1体がもう一度攻撃できる（1体1ターン1回）</t>
        </is>
      </c>
    </row>
    <row r="93" ht="37.5" customHeight="1">
      <c r="A93" s="7" t="n">
        <v>92</v>
      </c>
      <c r="B93" s="8" t="inlineStr">
        <is>
          <t>ゲームシステム</t>
        </is>
      </c>
      <c r="C93" s="8" t="inlineStr">
        <is>
          <t>ルール基盤</t>
        </is>
      </c>
      <c r="D93" s="9" t="inlineStr">
        <is>
          <t>黄金律</t>
        </is>
      </c>
      <c r="E93" s="10" t="inlineStr">
        <is>
          <t>The Magic Golden Rules</t>
        </is>
      </c>
      <c r="F93" s="7" t="inlineStr">
        <is>
          <t>101.1</t>
        </is>
      </c>
      <c r="G93" s="8" t="inlineStr">
        <is>
          <t>カードの記述がルールと矛盾するときはカードが優先され、「できない」効果は「できる」効果に優先する。</t>
        </is>
      </c>
      <c r="H93" s="8" t="inlineStr">
        <is>
          <t>アルファ (1993)</t>
        </is>
      </c>
      <c r="I93" s="8" t="inlineStr">
        <is>
          <t>効果を自由に組めるポイント制ゲームほど必須の原則。カード文が基本ルールに勝ち、禁止効果が許可効果に勝つという優先順位をエンジンに明記すると、組み合わせの矛盾処理が一貫する。</t>
        </is>
      </c>
      <c r="J93" s="11" t="inlineStr">
        <is>
          <t>高</t>
        </is>
      </c>
      <c r="K93" s="8" t="inlineStr">
        <is>
          <t>なし</t>
        </is>
      </c>
      <c r="L93" s="12" t="inlineStr">
        <is>
          <t>×</t>
        </is>
      </c>
      <c r="M93" s="13" t="inlineStr">
        <is>
          <t>ルール原則。実装方針の話でカード要素ではない</t>
        </is>
      </c>
    </row>
    <row r="94" ht="45.5" customHeight="1">
      <c r="A94" s="7" t="n">
        <v>93</v>
      </c>
      <c r="B94" s="8" t="inlineStr">
        <is>
          <t>ゲームシステム</t>
        </is>
      </c>
      <c r="C94" s="8" t="inlineStr">
        <is>
          <t>コスト・リソース</t>
        </is>
      </c>
      <c r="D94" s="9" t="inlineStr">
        <is>
          <t>マナとマナ・プール</t>
        </is>
      </c>
      <c r="E94" s="10" t="inlineStr">
        <is>
          <t>Mana / mana pool</t>
        </is>
      </c>
      <c r="F94" s="7" t="inlineStr">
        <is>
          <t>106</t>
        </is>
      </c>
      <c r="G94" s="8" t="inlineStr">
        <is>
          <t>土地などから生み出すコスト支払い用の資源。使わずに残ったマナは各ステップやフェイズの終わりに消える。</t>
        </is>
      </c>
      <c r="H94" s="8" t="inlineStr">
        <is>
          <t>アルファ (1993)</t>
        </is>
      </c>
      <c r="I94" s="10" t="inlineStr">
        <is>
          <t>StSのエネルギーに当たる。資源カードで上限が伸びるMTG式と、毎ターン固定値で回復する方式を比べて選ぶ。ポイント制ではエネルギー1あたりの効果量を基準単位にする。</t>
        </is>
      </c>
      <c r="J94" s="11" t="inlineStr">
        <is>
          <t>高</t>
        </is>
      </c>
      <c r="K94" s="8" t="inlineStr">
        <is>
          <t>マナ/エネルギー</t>
        </is>
      </c>
      <c r="L94" s="12" t="inlineStr">
        <is>
          <t>×</t>
        </is>
      </c>
      <c r="M94" s="13" t="inlineStr">
        <is>
          <t>既存：エナジー</t>
        </is>
      </c>
    </row>
    <row r="95" ht="37.5" customHeight="1">
      <c r="A95" s="7" t="n">
        <v>94</v>
      </c>
      <c r="B95" s="8" t="inlineStr">
        <is>
          <t>ゲームシステム</t>
        </is>
      </c>
      <c r="C95" s="8" t="inlineStr">
        <is>
          <t>コスト・リソース</t>
        </is>
      </c>
      <c r="D95" s="9" t="inlineStr">
        <is>
          <t>マナ・コスト</t>
        </is>
      </c>
      <c r="E95" s="10" t="inlineStr">
        <is>
          <t>Mana cost</t>
        </is>
      </c>
      <c r="F95" s="7" t="inlineStr">
        <is>
          <t>202</t>
        </is>
      </c>
      <c r="G95" s="8" t="inlineStr">
        <is>
          <t>カード右上に書かれた唱えるための費用。不特定マナと色マナの組み合わせで表される。</t>
        </is>
      </c>
      <c r="H95" s="8" t="inlineStr">
        <is>
          <t>アルファ (1993)</t>
        </is>
      </c>
      <c r="I95" s="8" t="inlineStr">
        <is>
          <t>コストを総量と属性指定に分けると多色デッキの難しさを表現できる。属性指定が多いほど強い効果を許すポイント補正を入れると、属性の濃さに価値が出る。</t>
        </is>
      </c>
      <c r="J95" s="11" t="inlineStr">
        <is>
          <t>高</t>
        </is>
      </c>
      <c r="K95" s="8" t="inlineStr">
        <is>
          <t>マナ/エネルギー</t>
        </is>
      </c>
      <c r="L95" s="12" t="inlineStr">
        <is>
          <t>×</t>
        </is>
      </c>
      <c r="M95" s="13" t="inlineStr">
        <is>
          <t>色マナ前提</t>
        </is>
      </c>
    </row>
    <row r="96" ht="41.5" customHeight="1">
      <c r="A96" s="7" t="n">
        <v>95</v>
      </c>
      <c r="B96" s="8" t="inlineStr">
        <is>
          <t>ゲームシステム</t>
        </is>
      </c>
      <c r="C96" s="8" t="inlineStr">
        <is>
          <t>デッキ構築</t>
        </is>
      </c>
      <c r="D96" s="9" t="inlineStr">
        <is>
          <t>色（5色）</t>
        </is>
      </c>
      <c r="E96" s="10" t="inlineStr">
        <is>
          <t>Color</t>
        </is>
      </c>
      <c r="F96" s="7" t="inlineStr">
        <is>
          <t>105</t>
        </is>
      </c>
      <c r="G96" s="8" t="inlineStr">
        <is>
          <t>白・青・黒・赤・緑の5色。色ごとに得意な効果と苦手な効果があり、カードの個性と役割分担を決める。</t>
        </is>
      </c>
      <c r="H96" s="8" t="inlineStr">
        <is>
          <t>アルファ (1993)</t>
        </is>
      </c>
      <c r="I96" s="10" t="inlineStr">
        <is>
          <t>5属性ごとに得意・不得意を決め、属性ごとにポイント単価を変える（赤はダメージが安くドローが高いなど）。属性の個性が予算設計から自然に生まれる。</t>
        </is>
      </c>
      <c r="J96" s="11" t="inlineStr">
        <is>
          <t>高</t>
        </is>
      </c>
      <c r="K96" s="8" t="inlineStr">
        <is>
          <t>色・属性システム</t>
        </is>
      </c>
      <c r="L96" s="12" t="inlineStr">
        <is>
          <t>×</t>
        </is>
      </c>
      <c r="M96" s="13" t="inlineStr">
        <is>
          <t>色前提</t>
        </is>
      </c>
    </row>
    <row r="97" ht="41.5" customHeight="1">
      <c r="A97" s="7" t="n">
        <v>96</v>
      </c>
      <c r="B97" s="8" t="inlineStr">
        <is>
          <t>ゲームシステム</t>
        </is>
      </c>
      <c r="C97" s="8" t="inlineStr">
        <is>
          <t>デッキ構築</t>
        </is>
      </c>
      <c r="D97" s="9" t="inlineStr">
        <is>
          <t>多色</t>
        </is>
      </c>
      <c r="E97" s="10" t="inlineStr">
        <is>
          <t>Multicolored</t>
        </is>
      </c>
      <c r="F97" s="7" t="inlineStr">
        <is>
          <t>105.2b</t>
        </is>
      </c>
      <c r="G97" s="10" t="inlineStr">
        <is>
          <t>2色以上を持つカード。両方の色のマナを要求する代わりに、各色の長所を組み合わせた強い効果を持つ。</t>
        </is>
      </c>
      <c r="H97" s="8" t="inlineStr">
        <is>
          <t>レジェンド (1994)</t>
        </is>
      </c>
      <c r="I97" s="10" t="inlineStr">
        <is>
          <t>2属性を組み合わせたカードは両属性のコストを要求し、その分ポイント予算を多く与える。属性の組み合わせごとに固有の効果テーマを決めるとデッキの方向性が明確になる。</t>
        </is>
      </c>
      <c r="J97" s="11" t="inlineStr">
        <is>
          <t>高</t>
        </is>
      </c>
      <c r="K97" s="8" t="inlineStr">
        <is>
          <t>色・属性システム</t>
        </is>
      </c>
      <c r="L97" s="12" t="inlineStr">
        <is>
          <t>×</t>
        </is>
      </c>
      <c r="M97" s="13" t="inlineStr">
        <is>
          <t>色前提</t>
        </is>
      </c>
    </row>
    <row r="98" ht="41.5" customHeight="1">
      <c r="A98" s="7" t="n">
        <v>97</v>
      </c>
      <c r="B98" s="8" t="inlineStr">
        <is>
          <t>ゲームシステム</t>
        </is>
      </c>
      <c r="C98" s="8" t="inlineStr">
        <is>
          <t>コスト・リソース</t>
        </is>
      </c>
      <c r="D98" s="9" t="inlineStr">
        <is>
          <t>混成マナ</t>
        </is>
      </c>
      <c r="E98" s="10" t="inlineStr">
        <is>
          <t>Hybrid mana</t>
        </is>
      </c>
      <c r="F98" s="7" t="inlineStr">
        <is>
          <t>107.4e</t>
        </is>
      </c>
      <c r="G98" s="10" t="inlineStr">
        <is>
          <t>2色のどちらのマナでも支払える混成マナ・シンボル。片方の色だけのデッキでも使える。</t>
        </is>
      </c>
      <c r="H98" s="8" t="inlineStr">
        <is>
          <t>ラヴニカ：ギルドの都 (2005)</t>
        </is>
      </c>
      <c r="I98" s="8" t="inlineStr">
        <is>
          <t>赤か緑どちらのエネルギーでも払えるコスト。構築の制約が緩む代わりに、2属性の得意分野が重なる効果だけに限定してポイントを設計する。</t>
        </is>
      </c>
      <c r="J98" s="11" t="inlineStr">
        <is>
          <t>高</t>
        </is>
      </c>
      <c r="K98" s="8" t="inlineStr">
        <is>
          <t>色・属性システム</t>
        </is>
      </c>
      <c r="L98" s="12" t="inlineStr">
        <is>
          <t>×</t>
        </is>
      </c>
      <c r="M98" s="13" t="inlineStr">
        <is>
          <t>色前提</t>
        </is>
      </c>
    </row>
    <row r="99" ht="49.5" customHeight="1">
      <c r="A99" s="7" t="n">
        <v>98</v>
      </c>
      <c r="B99" s="8" t="inlineStr">
        <is>
          <t>ゲームシステム</t>
        </is>
      </c>
      <c r="C99" s="8" t="inlineStr">
        <is>
          <t>コスト・リソース</t>
        </is>
      </c>
      <c r="D99" s="9" t="inlineStr">
        <is>
          <t>ファイレクシア・マナ</t>
        </is>
      </c>
      <c r="E99" s="10" t="inlineStr">
        <is>
          <t>Phyrexian mana</t>
        </is>
      </c>
      <c r="F99" s="7" t="inlineStr">
        <is>
          <t>107.4f</t>
        </is>
      </c>
      <c r="G99" s="8" t="inlineStr">
        <is>
          <t>対応する色マナの代わりに2点のライフを支払っても払えるマナ・シンボル。</t>
        </is>
      </c>
      <c r="H99" s="8" t="inlineStr">
        <is>
          <t>新たなるファイレクシア (2011)</t>
        </is>
      </c>
      <c r="I99" s="8" t="inlineStr">
        <is>
          <t>エネルギーの代わりにHPで払える選択肢。どの属性のデッキでも使えてしまい問題を起こしやすいので、HPの支払い比率を高めにするか1枚制限とセットにする。</t>
        </is>
      </c>
      <c r="J99" s="11" t="inlineStr">
        <is>
          <t>高</t>
        </is>
      </c>
      <c r="K99" s="10" t="inlineStr">
        <is>
          <t>HP・エネルギー</t>
        </is>
      </c>
      <c r="L99" s="12" t="inlineStr">
        <is>
          <t>△</t>
        </is>
      </c>
      <c r="M99" s="13" t="inlineStr">
        <is>
          <t>既存：自傷デメリットに近い。『エナジー不足時にHP払い』はコスト処理の拡張が要る</t>
        </is>
      </c>
    </row>
    <row r="100" ht="37.5" customHeight="1">
      <c r="A100" s="7" t="n">
        <v>99</v>
      </c>
      <c r="B100" s="8" t="inlineStr">
        <is>
          <t>ゲームシステム</t>
        </is>
      </c>
      <c r="C100" s="8" t="inlineStr">
        <is>
          <t>デッキ構築</t>
        </is>
      </c>
      <c r="D100" s="9" t="inlineStr">
        <is>
          <t>無色</t>
        </is>
      </c>
      <c r="E100" s="10" t="inlineStr">
        <is>
          <t>Colorless</t>
        </is>
      </c>
      <c r="F100" s="7" t="inlineStr">
        <is>
          <t>105.2c</t>
        </is>
      </c>
      <c r="G100" s="8" t="inlineStr">
        <is>
          <t>色を持たない状態。どの色のデッキにも入る。無色マナそのものを要求する{C}のシンボルもある。</t>
        </is>
      </c>
      <c r="H100" s="8" t="inlineStr">
        <is>
          <t>アルファ (1993)</t>
        </is>
      </c>
      <c r="I100" s="8" t="inlineStr">
        <is>
          <t>属性を持たない汎用カード。どの属性デッキでも使えるので、効果を属性カードより弱めにするかポイント単価を高くする。無色専用のエネルギーを要求すれば専用デッキも作れる。</t>
        </is>
      </c>
      <c r="J100" s="11" t="inlineStr">
        <is>
          <t>高</t>
        </is>
      </c>
      <c r="K100" s="8" t="inlineStr">
        <is>
          <t>色・属性システム</t>
        </is>
      </c>
      <c r="L100" s="12" t="inlineStr">
        <is>
          <t>×</t>
        </is>
      </c>
      <c r="M100" s="13" t="inlineStr">
        <is>
          <t>色前提。全カード無色</t>
        </is>
      </c>
    </row>
    <row r="101" ht="41.5" customHeight="1">
      <c r="A101" s="7" t="n">
        <v>100</v>
      </c>
      <c r="B101" s="8" t="inlineStr">
        <is>
          <t>ゲームシステム</t>
        </is>
      </c>
      <c r="C101" s="8" t="inlineStr">
        <is>
          <t>コスト・リソース</t>
        </is>
      </c>
      <c r="D101" s="14" t="inlineStr">
        <is>
          <t>X</t>
        </is>
      </c>
      <c r="E101" s="10" t="inlineStr">
        <is>
          <t>X</t>
        </is>
      </c>
      <c r="F101" s="7" t="inlineStr">
        <is>
          <t>107.3</t>
        </is>
      </c>
      <c r="G101" s="8" t="inlineStr">
        <is>
          <t>コストや効果の数値をプレイヤーが唱えるときに決める変数。多く払うほど効果も大きくなる。</t>
        </is>
      </c>
      <c r="H101" s="8" t="inlineStr">
        <is>
          <t>アルファ (1993)</t>
        </is>
      </c>
      <c r="I101" s="8" t="inlineStr">
        <is>
          <t>余ったエネルギーを全て注げる可変カード。終盤の使い道になる。ポイントはX=1あたりの効果量で計算し、最低保証値を付けるかどうかで単価を変える。</t>
        </is>
      </c>
      <c r="J101" s="11" t="inlineStr">
        <is>
          <t>高</t>
        </is>
      </c>
      <c r="K101" s="8" t="inlineStr">
        <is>
          <t>マナ/エネルギー</t>
        </is>
      </c>
      <c r="L101" s="12" t="inlineStr">
        <is>
          <t>◎</t>
        </is>
      </c>
      <c r="M101" s="13" t="inlineStr">
        <is>
          <t>【今回実装：X（全力）】今回実装 修飾『X』xEnergy：残りエナジーを全部使い、数値×使ったエナジー（#600と統合）</t>
        </is>
      </c>
    </row>
    <row r="102" ht="45.5" customHeight="1">
      <c r="A102" s="7" t="n">
        <v>101</v>
      </c>
      <c r="B102" s="8" t="inlineStr">
        <is>
          <t>ゲームシステム</t>
        </is>
      </c>
      <c r="C102" s="8" t="inlineStr">
        <is>
          <t>ルール基盤</t>
        </is>
      </c>
      <c r="D102" s="9" t="inlineStr">
        <is>
          <t>マナ総量</t>
        </is>
      </c>
      <c r="E102" s="10" t="inlineStr">
        <is>
          <t>Mana value</t>
        </is>
      </c>
      <c r="F102" s="7" t="inlineStr">
        <is>
          <t>202.3</t>
        </is>
      </c>
      <c r="G102" s="8" t="inlineStr">
        <is>
          <t>マナ・コストに含まれるマナを色を無視して合計した値。多くの効果が条件に使う。2021年に点数で見たマナ・コストから改名された。</t>
        </is>
      </c>
      <c r="H102" s="8" t="inlineStr">
        <is>
          <t>アルファ (1993)</t>
        </is>
      </c>
      <c r="I102" s="8" t="inlineStr">
        <is>
          <t>カードの重さを1つの数値で表し、除去や踏み倒しの条件に使う。ポイント制なら総ポイントを公開値として参照させ、「ポイント5以下を破壊」などの効果を作ると設計と効果が直結する。</t>
        </is>
      </c>
      <c r="J102" s="11" t="inlineStr">
        <is>
          <t>高</t>
        </is>
      </c>
      <c r="K102" s="8" t="inlineStr">
        <is>
          <t>マナ/エネルギー</t>
        </is>
      </c>
      <c r="L102" s="12" t="inlineStr">
        <is>
          <t>◎</t>
        </is>
      </c>
      <c r="M102" s="13" t="inlineStr">
        <is>
          <t>【今回実装：効果『討伐』（`slay`・バッチB）】（審査時は○）次回：効果『討伐』（コストN以下の相手モンスターを破壊。処刑のコスト版）</t>
        </is>
      </c>
    </row>
    <row r="103" ht="45.5" customHeight="1">
      <c r="A103" s="7" t="n">
        <v>102</v>
      </c>
      <c r="B103" s="8" t="inlineStr">
        <is>
          <t>ゲームシステム</t>
        </is>
      </c>
      <c r="C103" s="8" t="inlineStr">
        <is>
          <t>ルール基盤</t>
        </is>
      </c>
      <c r="D103" s="9" t="inlineStr">
        <is>
          <t>パワー／タフネス</t>
        </is>
      </c>
      <c r="E103" s="10" t="inlineStr">
        <is>
          <t>Power / Toughness</t>
        </is>
      </c>
      <c r="F103" s="7" t="inlineStr">
        <is>
          <t>208</t>
        </is>
      </c>
      <c r="G103" s="8" t="inlineStr">
        <is>
          <t>クリーチャーの攻撃力と耐久力。タフネス以上のダメージで破壊され、受けたダメージはターン終了時に消える。</t>
        </is>
      </c>
      <c r="H103" s="8" t="inlineStr">
        <is>
          <t>アルファ (1993)</t>
        </is>
      </c>
      <c r="I103" s="8" t="inlineStr">
        <is>
          <t>ユニットの攻撃値と耐久値。MTG式に毎ターンダメージが回復するなら、耐久値は「1ターンで削り切るべき量」を意味する。ポイント換算表の基準ステータスとして使う。</t>
        </is>
      </c>
      <c r="J103" s="11" t="inlineStr">
        <is>
          <t>高</t>
        </is>
      </c>
      <c r="K103" s="8" t="inlineStr">
        <is>
          <t>ユニット</t>
        </is>
      </c>
      <c r="L103" s="12" t="inlineStr">
        <is>
          <t>×</t>
        </is>
      </c>
      <c r="M103" s="13" t="inlineStr">
        <is>
          <t>既存：攻撃力・体力</t>
        </is>
      </c>
    </row>
    <row r="104" ht="37.5" customHeight="1">
      <c r="A104" s="7" t="n">
        <v>103</v>
      </c>
      <c r="B104" s="8" t="inlineStr">
        <is>
          <t>ゲームシステム</t>
        </is>
      </c>
      <c r="C104" s="8" t="inlineStr">
        <is>
          <t>ルール基盤</t>
        </is>
      </c>
      <c r="D104" s="9" t="inlineStr">
        <is>
          <t>召喚酔い</t>
        </is>
      </c>
      <c r="E104" s="10" t="inlineStr">
        <is>
          <t>Summoning sickness</t>
        </is>
      </c>
      <c r="F104" s="7" t="inlineStr">
        <is>
          <t>302.6</t>
        </is>
      </c>
      <c r="G104" s="8" t="inlineStr">
        <is>
          <t>自分のターン開始時から続けてコントロールしていないクリーチャーは、攻撃もタップを含む能力の起動もできない。</t>
        </is>
      </c>
      <c r="H104" s="8" t="inlineStr">
        <is>
          <t>アルファ (1993)</t>
        </is>
      </c>
      <c r="I104" s="8" t="inlineStr">
        <is>
          <t>出したターンは行動できない基本制約。すぐ動ける速攻持ちとの差でポイントを付けられる。ユニットの標準ルールとして入れておくと即効性の価値が測れる。</t>
        </is>
      </c>
      <c r="J104" s="11" t="inlineStr">
        <is>
          <t>高</t>
        </is>
      </c>
      <c r="K104" s="8" t="inlineStr">
        <is>
          <t>ユニット</t>
        </is>
      </c>
      <c r="L104" s="12" t="inlineStr">
        <is>
          <t>×</t>
        </is>
      </c>
      <c r="M104" s="13" t="inlineStr">
        <is>
          <t>既存：召喚酔い・速攻</t>
        </is>
      </c>
    </row>
    <row r="105" ht="37.5" customHeight="1">
      <c r="A105" s="7" t="n">
        <v>104</v>
      </c>
      <c r="B105" s="8" t="inlineStr">
        <is>
          <t>ゲームシステム</t>
        </is>
      </c>
      <c r="C105" s="8" t="inlineStr">
        <is>
          <t>ルール基盤</t>
        </is>
      </c>
      <c r="D105" s="9" t="inlineStr">
        <is>
          <t>タップ／アンタップ</t>
        </is>
      </c>
      <c r="E105" s="10" t="inlineStr">
        <is>
          <t>Tap / Untap</t>
        </is>
      </c>
      <c r="F105" s="7" t="inlineStr">
        <is>
          <t>701.26</t>
        </is>
      </c>
      <c r="G105" s="8" t="inlineStr">
        <is>
          <t>カードを横向きにして使用済みを表す状態。攻撃や能力のコストでタップし、毎ターン最初にアンタップする。</t>
        </is>
      </c>
      <c r="H105" s="8" t="inlineStr">
        <is>
          <t>アルファ (1993)</t>
        </is>
      </c>
      <c r="I105" s="8" t="inlineStr">
        <is>
          <t>このターン使用済みを示すフラグ。ユニットや装置の行動回数を管理する基本状態として実装し、使用済みを解除する効果や相手を使用済みにする妨害に発展させる。</t>
        </is>
      </c>
      <c r="J105" s="11" t="inlineStr">
        <is>
          <t>高</t>
        </is>
      </c>
      <c r="K105" s="8" t="inlineStr">
        <is>
          <t>なし</t>
        </is>
      </c>
      <c r="L105" s="12" t="inlineStr">
        <is>
          <t>◎</t>
        </is>
      </c>
      <c r="M105" s="13" t="inlineStr">
        <is>
          <t>【今回実装：再行動】今回実装 効果『再行動』ready に統合（#91）</t>
        </is>
      </c>
    </row>
    <row r="106" ht="45.5" customHeight="1">
      <c r="A106" s="7" t="n">
        <v>105</v>
      </c>
      <c r="B106" s="8" t="inlineStr">
        <is>
          <t>ゲームシステム</t>
        </is>
      </c>
      <c r="C106" s="8" t="inlineStr">
        <is>
          <t>ルール基盤</t>
        </is>
      </c>
      <c r="D106" s="9" t="inlineStr">
        <is>
          <t>ライフ</t>
        </is>
      </c>
      <c r="E106" s="10" t="inlineStr">
        <is>
          <t>Life</t>
        </is>
      </c>
      <c r="F106" s="7" t="inlineStr">
        <is>
          <t>119</t>
        </is>
      </c>
      <c r="G106" s="8" t="inlineStr">
        <is>
          <t>各プレイヤーは20点で始め、0以下になると敗北する。ダメージや支払いで減り、回復効果で増える。</t>
        </is>
      </c>
      <c r="H106" s="8" t="inlineStr">
        <is>
          <t>アルファ (1993)</t>
        </is>
      </c>
      <c r="I106" s="10" t="inlineStr">
        <is>
          <t>HPそのもの。MTGではライフをコストとして支払える点が特徴で、「HPを払ってカードを引く」などの変換を入れると、HPが攻防両面の資源になる。</t>
        </is>
      </c>
      <c r="J106" s="11" t="inlineStr">
        <is>
          <t>高</t>
        </is>
      </c>
      <c r="K106" s="10" t="inlineStr">
        <is>
          <t>HP</t>
        </is>
      </c>
      <c r="L106" s="12" t="inlineStr">
        <is>
          <t>×</t>
        </is>
      </c>
      <c r="M106" s="13" t="inlineStr">
        <is>
          <t>既存：HP・自傷デメリット</t>
        </is>
      </c>
    </row>
    <row r="107" ht="37.5" customHeight="1">
      <c r="A107" s="7" t="n">
        <v>106</v>
      </c>
      <c r="B107" s="8" t="inlineStr">
        <is>
          <t>ゲームシステム</t>
        </is>
      </c>
      <c r="C107" s="8" t="inlineStr">
        <is>
          <t>ルール基盤</t>
        </is>
      </c>
      <c r="D107" s="9" t="inlineStr">
        <is>
          <t>優先権</t>
        </is>
      </c>
      <c r="E107" s="10" t="inlineStr">
        <is>
          <t>Priority</t>
        </is>
      </c>
      <c r="F107" s="7" t="inlineStr">
        <is>
          <t>117</t>
        </is>
      </c>
      <c r="G107" s="8" t="inlineStr">
        <is>
          <t>呪文や能力を使える権利。全員が続けて優先権をパスすると、スタックの一番上が解決される。</t>
        </is>
      </c>
      <c r="H107" s="8" t="inlineStr">
        <is>
          <t>第6版 (1999)</t>
        </is>
      </c>
      <c r="I107" s="8" t="inlineStr">
        <is>
          <t>オンラインで割り込みを入れるなら必須の仕組み。各行動の後に相手へ短い応答時間を渡し、応答できるカードがなければ自動でパスすると快適さを保てる。</t>
        </is>
      </c>
      <c r="J107" s="11" t="inlineStr">
        <is>
          <t>低</t>
        </is>
      </c>
      <c r="K107" s="8" t="inlineStr">
        <is>
          <t>割り込みタイミング</t>
        </is>
      </c>
      <c r="L107" s="12" t="inlineStr">
        <is>
          <t>×</t>
        </is>
      </c>
      <c r="M107" s="13" t="inlineStr">
        <is>
          <t>スタック・割り込み前提</t>
        </is>
      </c>
    </row>
    <row r="108" ht="37.5" customHeight="1">
      <c r="A108" s="7" t="n">
        <v>107</v>
      </c>
      <c r="B108" s="8" t="inlineStr">
        <is>
          <t>ゲームシステム</t>
        </is>
      </c>
      <c r="C108" s="8" t="inlineStr">
        <is>
          <t>ルール基盤</t>
        </is>
      </c>
      <c r="D108" s="9" t="inlineStr">
        <is>
          <t>唱えるタイミング（ソーサリー／インスタント）</t>
        </is>
      </c>
      <c r="E108" s="10" t="inlineStr">
        <is>
          <t>Sorcery speed / Instant speed</t>
        </is>
      </c>
      <c r="F108" s="7" t="inlineStr">
        <is>
          <t>117.1a</t>
        </is>
      </c>
      <c r="G108" s="8" t="inlineStr">
        <is>
          <t>自分のメイン・フェイズでスタックが空のときだけ使える速度と、優先権があればいつでも使える速度の区別。</t>
        </is>
      </c>
      <c r="H108" s="8" t="inlineStr">
        <is>
          <t>アルファ (1993)</t>
        </is>
      </c>
      <c r="I108" s="8" t="inlineStr">
        <is>
          <t>カードごとに「自ターン専用」か「いつでも」のフラグを持たせ、後者にポイントを上乗せする。最初は全カードを自ターン専用で作り、割り込みは後から追加するのが安全。</t>
        </is>
      </c>
      <c r="J108" s="11" t="inlineStr">
        <is>
          <t>中</t>
        </is>
      </c>
      <c r="K108" s="8" t="inlineStr">
        <is>
          <t>割り込みタイミング</t>
        </is>
      </c>
      <c r="L108" s="12" t="inlineStr">
        <is>
          <t>×</t>
        </is>
      </c>
      <c r="M108" s="13" t="inlineStr">
        <is>
          <t>割り込み前提。全カード自ターン専用</t>
        </is>
      </c>
    </row>
    <row r="109" ht="45.5" customHeight="1">
      <c r="A109" s="7" t="n">
        <v>108</v>
      </c>
      <c r="B109" s="8" t="inlineStr">
        <is>
          <t>ゲームシステム</t>
        </is>
      </c>
      <c r="C109" s="8" t="inlineStr">
        <is>
          <t>反復・再利用</t>
        </is>
      </c>
      <c r="D109" s="9" t="inlineStr">
        <is>
          <t>起動型能力</t>
        </is>
      </c>
      <c r="E109" s="10" t="inlineStr">
        <is>
          <t>Activated ability</t>
        </is>
      </c>
      <c r="F109" s="7" t="inlineStr">
        <is>
          <t>602</t>
        </is>
      </c>
      <c r="G109" s="8" t="inlineStr">
        <is>
          <t>「コスト：効果」の形を持ち、コストを払えば使える能力。タップをコストに含むものは実質1ターン1回。</t>
        </is>
      </c>
      <c r="H109" s="8" t="inlineStr">
        <is>
          <t>アルファ (1993)</t>
        </is>
      </c>
      <c r="I109" s="8" t="inlineStr">
        <is>
          <t>場のカードに付けるボタン式の能力。エネルギーやHPを払って何度でも使える能力は、1ターンの使用回数に上限を付けてポイントを決めると無限ループを防げる。</t>
        </is>
      </c>
      <c r="J109" s="11" t="inlineStr">
        <is>
          <t>中</t>
        </is>
      </c>
      <c r="K109" s="8" t="inlineStr">
        <is>
          <t>永続カード枠</t>
        </is>
      </c>
      <c r="L109" s="12" t="inlineStr">
        <is>
          <t>◎</t>
        </is>
      </c>
      <c r="M109" s="13" t="inlineStr">
        <is>
          <t>【今回実装：起動型能力（能力『起動』＋タイミング『起動』）（`activated`・バッチC1）】（審査時は○）起動型能力：場のモンスター・パワーに『1エナジー：効果』ボタン（1ターン1回）。UIと行動の追加が要る</t>
        </is>
      </c>
    </row>
    <row r="110" ht="37.5" customHeight="1">
      <c r="A110" s="7" t="n">
        <v>109</v>
      </c>
      <c r="B110" s="8" t="inlineStr">
        <is>
          <t>ゲームシステム</t>
        </is>
      </c>
      <c r="C110" s="8" t="inlineStr">
        <is>
          <t>ルール基盤</t>
        </is>
      </c>
      <c r="D110" s="9" t="inlineStr">
        <is>
          <t>誘発型能力</t>
        </is>
      </c>
      <c r="E110" s="10" t="inlineStr">
        <is>
          <t>Triggered ability</t>
        </is>
      </c>
      <c r="F110" s="7" t="inlineStr">
        <is>
          <t>603</t>
        </is>
      </c>
      <c r="G110" s="8" t="inlineStr">
        <is>
          <t>「〜したとき」「〜の開始時に」などの条件を満たすと自動的に起きる能力。</t>
        </is>
      </c>
      <c r="H110" s="8" t="inlineStr">
        <is>
          <t>アルファ (1993)</t>
        </is>
      </c>
      <c r="I110" s="8" t="inlineStr">
        <is>
          <t>イベント駆動の効果。カード使用時・被ダメージ時・ターン開始時などのイベント一覧を定義して効果を紐付けると、カードエディタで条件と効果を自由に組み合わせられる。</t>
        </is>
      </c>
      <c r="J110" s="11" t="inlineStr">
        <is>
          <t>中</t>
        </is>
      </c>
      <c r="K110" s="8" t="inlineStr">
        <is>
          <t>イベントシステム</t>
        </is>
      </c>
      <c r="L110" s="12" t="inlineStr">
        <is>
          <t>×</t>
        </is>
      </c>
      <c r="M110" s="13" t="inlineStr">
        <is>
          <t>既存：タイミング（召喚時・ターン開始時など）</t>
        </is>
      </c>
    </row>
    <row r="111" ht="37.5" customHeight="1">
      <c r="A111" s="7" t="n">
        <v>110</v>
      </c>
      <c r="B111" s="8" t="inlineStr">
        <is>
          <t>ゲームシステム</t>
        </is>
      </c>
      <c r="C111" s="8" t="inlineStr">
        <is>
          <t>強化</t>
        </is>
      </c>
      <c r="D111" s="9" t="inlineStr">
        <is>
          <t>常在型能力</t>
        </is>
      </c>
      <c r="E111" s="10" t="inlineStr">
        <is>
          <t>Static ability</t>
        </is>
      </c>
      <c r="F111" s="7" t="inlineStr">
        <is>
          <t>604</t>
        </is>
      </c>
      <c r="G111" s="8" t="inlineStr">
        <is>
          <t>場にある間ずっと働き続ける能力。全体強化やコスト変更など継続的な効果を生む。</t>
        </is>
      </c>
      <c r="H111" s="8" t="inlineStr">
        <is>
          <t>アルファ (1993)</t>
        </is>
      </c>
      <c r="I111" s="8" t="inlineStr">
        <is>
          <t>場にある間ずっと効くパッシブ効果。毎回再計算する方式で実装すると、除去された瞬間に効果が切れる挙動が自然に作れる。範囲が広いほどポイントを高くする。</t>
        </is>
      </c>
      <c r="J111" s="11" t="inlineStr">
        <is>
          <t>中</t>
        </is>
      </c>
      <c r="K111" s="8" t="inlineStr">
        <is>
          <t>永続カード枠</t>
        </is>
      </c>
      <c r="L111" s="12" t="inlineStr">
        <is>
          <t>◎</t>
        </is>
      </c>
      <c r="M111" s="13" t="inlineStr">
        <is>
          <t>【今回実装：キーワード『激励』（`inspire`・バッチB）】（審査時は○）効果『激励』：場にいる間、自分の他のモンスターの攻撃力+N（毎回再計算）。N×3pt×体数見込み</t>
        </is>
      </c>
    </row>
    <row r="112" ht="41.5" customHeight="1">
      <c r="A112" s="7" t="n">
        <v>111</v>
      </c>
      <c r="B112" s="8" t="inlineStr">
        <is>
          <t>ゲームシステム</t>
        </is>
      </c>
      <c r="C112" s="8" t="inlineStr">
        <is>
          <t>防御</t>
        </is>
      </c>
      <c r="D112" s="9" t="inlineStr">
        <is>
          <t>置換効果・軽減効果</t>
        </is>
      </c>
      <c r="E112" s="10" t="inlineStr">
        <is>
          <t>Replacement / Prevention effects</t>
        </is>
      </c>
      <c r="F112" s="7" t="inlineStr">
        <is>
          <t>614</t>
        </is>
      </c>
      <c r="G112" s="8" t="inlineStr">
        <is>
          <t>ある出来事を別の出来事に置き換える効果。「代わりに」で表され、ダメージを防ぐ軽減効果もその一種として扱う。</t>
        </is>
      </c>
      <c r="H112" s="8" t="inlineStr">
        <is>
          <t>アルファ (1993)</t>
        </is>
      </c>
      <c r="I112" s="8" t="inlineStr">
        <is>
          <t>「破壊される代わりに手札へ戻る」など。StSのブロック値自体が軽減効果の一種。複数かかったときの適用順を決めておかないと、多重適用で不具合が出やすい。</t>
        </is>
      </c>
      <c r="J112" s="11" t="inlineStr">
        <is>
          <t>低</t>
        </is>
      </c>
      <c r="K112" s="8" t="inlineStr">
        <is>
          <t>イベントシステム</t>
        </is>
      </c>
      <c r="L112" s="12" t="inlineStr">
        <is>
          <t>×</t>
        </is>
      </c>
      <c r="M112" s="13" t="inlineStr">
        <is>
          <t>既存：無効化・不屈・シールド</t>
        </is>
      </c>
    </row>
    <row r="113" ht="41.5" customHeight="1">
      <c r="A113" s="7" t="n">
        <v>112</v>
      </c>
      <c r="B113" s="8" t="inlineStr">
        <is>
          <t>ゲームシステム</t>
        </is>
      </c>
      <c r="C113" s="8" t="inlineStr">
        <is>
          <t>ルール基盤</t>
        </is>
      </c>
      <c r="D113" s="9" t="inlineStr">
        <is>
          <t>継続効果の適用順（種類別）</t>
        </is>
      </c>
      <c r="E113" s="10" t="inlineStr">
        <is>
          <t>Interaction of continuous effects (layers)</t>
        </is>
      </c>
      <c r="F113" s="7" t="inlineStr">
        <is>
          <t>613</t>
        </is>
      </c>
      <c r="G113" s="8" t="inlineStr">
        <is>
          <t>複数の継続効果が重なるとき、コピー、コントロール、タイプ、能力、P/T修整などの順に適用する仕組み。</t>
        </is>
      </c>
      <c r="H113" s="8" t="n"/>
      <c r="I113" s="8" t="inlineStr">
        <is>
          <t>強化と上書きが重なるときの計算順。「基礎値の上書き→加算→倍率」の3段に単純化した順序を決めておくと、ポイント制で多様な効果が衝突しても結果が一意になる。</t>
        </is>
      </c>
      <c r="J113" s="11" t="inlineStr">
        <is>
          <t>中</t>
        </is>
      </c>
      <c r="K113" s="8" t="inlineStr">
        <is>
          <t>ステータス計算</t>
        </is>
      </c>
      <c r="L113" s="12" t="inlineStr">
        <is>
          <t>×</t>
        </is>
      </c>
      <c r="M113" s="13" t="inlineStr">
        <is>
          <t>内部の計算順の話</t>
        </is>
      </c>
    </row>
    <row r="114" ht="41.5" customHeight="1">
      <c r="A114" s="7" t="n">
        <v>113</v>
      </c>
      <c r="B114" s="8" t="inlineStr">
        <is>
          <t>ゲームシステム</t>
        </is>
      </c>
      <c r="C114" s="8" t="inlineStr">
        <is>
          <t>ルール基盤</t>
        </is>
      </c>
      <c r="D114" s="9" t="inlineStr">
        <is>
          <t>状況起因処理</t>
        </is>
      </c>
      <c r="E114" s="10" t="inlineStr">
        <is>
          <t>State-based actions</t>
        </is>
      </c>
      <c r="F114" s="7" t="inlineStr">
        <is>
          <t>704</t>
        </is>
      </c>
      <c r="G114" s="8" t="inlineStr">
        <is>
          <t>ライフ0での敗北や致死ダメージを受けたクリーチャーの破壊などを、優先権が発生する前に自動で確認する処理。</t>
        </is>
      </c>
      <c r="H114" s="8" t="n"/>
      <c r="I114" s="10" t="inlineStr">
        <is>
          <t>HP0の撃破や同名ユニークの重複解消を毎行動後に一括でチェックする仕組み。各処理の後に必ず呼ぶ関数として実装し、チェックの順番を固定すると不具合を防げる。</t>
        </is>
      </c>
      <c r="J114" s="11" t="inlineStr">
        <is>
          <t>中</t>
        </is>
      </c>
      <c r="K114" s="8" t="inlineStr">
        <is>
          <t>なし</t>
        </is>
      </c>
      <c r="L114" s="12" t="inlineStr">
        <is>
          <t>×</t>
        </is>
      </c>
      <c r="M114" s="13" t="inlineStr">
        <is>
          <t>既存：エンジンの破壊・勝敗判定</t>
        </is>
      </c>
    </row>
    <row r="115" ht="41.5" customHeight="1">
      <c r="A115" s="7" t="n">
        <v>114</v>
      </c>
      <c r="B115" s="8" t="inlineStr">
        <is>
          <t>ゲームシステム</t>
        </is>
      </c>
      <c r="C115" s="8" t="inlineStr">
        <is>
          <t>勝利条件</t>
        </is>
      </c>
      <c r="D115" s="9" t="inlineStr">
        <is>
          <t>ドローできずに敗北</t>
        </is>
      </c>
      <c r="E115" s="10" t="inlineStr">
        <is>
          <t>Losing by drawing from an empty library</t>
        </is>
      </c>
      <c r="F115" s="7" t="inlineStr">
        <is>
          <t>104.3c</t>
        </is>
      </c>
      <c r="G115" s="8" t="inlineStr">
        <is>
          <t>ライブラリーが空のときにカードを引こうとしたプレイヤーは、次の状況起因処理で敗北する。</t>
        </is>
      </c>
      <c r="H115" s="8" t="inlineStr">
        <is>
          <t>アルファ (1993)</t>
        </is>
      </c>
      <c r="I115" s="8" t="inlineStr">
        <is>
          <t>山札を削る戦術を勝ち筋にする。捨て札を山札に戻すStS型では起きないので、「山札も捨て札も尽きたら疲労ダメージ」などの罰則に置き換えて山札破壊デッキを成立させる。</t>
        </is>
      </c>
      <c r="J115" s="11" t="inlineStr">
        <is>
          <t>高</t>
        </is>
      </c>
      <c r="K115" s="8" t="inlineStr">
        <is>
          <t>山札管理</t>
        </is>
      </c>
      <c r="L115" s="12" t="inlineStr">
        <is>
          <t>×</t>
        </is>
      </c>
      <c r="M115" s="13" t="inlineStr">
        <is>
          <t>捨て札を切り直すので山札切れが起きない</t>
        </is>
      </c>
    </row>
    <row r="116" ht="41.5" customHeight="1">
      <c r="A116" s="7" t="n">
        <v>115</v>
      </c>
      <c r="B116" s="8" t="inlineStr">
        <is>
          <t>ゲームシステム</t>
        </is>
      </c>
      <c r="C116" s="8" t="inlineStr">
        <is>
          <t>勝利条件</t>
        </is>
      </c>
      <c r="D116" s="9" t="inlineStr">
        <is>
          <t>特殊勝利</t>
        </is>
      </c>
      <c r="E116" s="10" t="inlineStr">
        <is>
          <t>Alternate win conditions</t>
        </is>
      </c>
      <c r="F116" s="7" t="inlineStr">
        <is>
          <t>104.2b</t>
        </is>
      </c>
      <c r="G116" s="8" t="inlineStr">
        <is>
          <t>「あなたはこのゲームに勝利する」という効果。条件を満たせばライフに関係なく勝てる。</t>
        </is>
      </c>
      <c r="H116" s="8" t="n"/>
      <c r="I116" s="8" t="inlineStr">
        <is>
          <t>特定カード5種を揃えるなどの代替勝利条件。対戦ゲームでは対策手段も同時に用意し、達成までのターン数を見積もってポイントを高めに設定する。</t>
        </is>
      </c>
      <c r="J116" s="11" t="inlineStr">
        <is>
          <t>高</t>
        </is>
      </c>
      <c r="K116" s="8" t="inlineStr">
        <is>
          <t>条件判定</t>
        </is>
      </c>
      <c r="L116" s="12" t="inlineStr">
        <is>
          <t>△</t>
        </is>
      </c>
      <c r="M116" s="13" t="inlineStr">
        <is>
          <t>特殊勝利は対策手段込みで重い。後回し</t>
        </is>
      </c>
    </row>
    <row r="117" ht="41.5" customHeight="1">
      <c r="A117" s="7" t="n">
        <v>116</v>
      </c>
      <c r="B117" s="8" t="inlineStr">
        <is>
          <t>ゲームシステム</t>
        </is>
      </c>
      <c r="C117" s="8" t="inlineStr">
        <is>
          <t>ドロー・手札</t>
        </is>
      </c>
      <c r="D117" s="9" t="inlineStr">
        <is>
          <t>マリガン</t>
        </is>
      </c>
      <c r="E117" s="10" t="inlineStr">
        <is>
          <t>Mulligan</t>
        </is>
      </c>
      <c r="F117" s="7" t="inlineStr">
        <is>
          <t>103.5</t>
        </is>
      </c>
      <c r="G117" s="8" t="inlineStr">
        <is>
          <t>初手に不満なとき引き直せるルール。現行方式では7枚引き直した後、引き直した回数分のカードをライブラリーの下に置く。</t>
        </is>
      </c>
      <c r="H117" s="8" t="n"/>
      <c r="I117" s="8" t="inlineStr">
        <is>
          <t>初手事故の救済策。「好きな枚数を山札の下に戻して引き直し、戻した数だけ手札が減る」方式が分かりやすい。CPU戦では1回無料など緩くしてよい。</t>
        </is>
      </c>
      <c r="J117" s="11" t="inlineStr">
        <is>
          <t>高</t>
        </is>
      </c>
      <c r="K117" s="8" t="inlineStr">
        <is>
          <t>初期手札</t>
        </is>
      </c>
      <c r="L117" s="12" t="inlineStr">
        <is>
          <t>×</t>
        </is>
      </c>
      <c r="M117" s="13" t="inlineStr">
        <is>
          <t>既存：マリガン</t>
        </is>
      </c>
    </row>
    <row r="118" ht="37.5" customHeight="1">
      <c r="A118" s="7" t="n">
        <v>117</v>
      </c>
      <c r="B118" s="8" t="inlineStr">
        <is>
          <t>ゲームシステム</t>
        </is>
      </c>
      <c r="C118" s="8" t="inlineStr">
        <is>
          <t>ドロー・手札</t>
        </is>
      </c>
      <c r="D118" s="9" t="inlineStr">
        <is>
          <t>初期手札と手札の上限</t>
        </is>
      </c>
      <c r="E118" s="10" t="inlineStr">
        <is>
          <t>Opening hand / Maximum hand size</t>
        </is>
      </c>
      <c r="F118" s="7" t="inlineStr">
        <is>
          <t>402.2</t>
        </is>
      </c>
      <c r="G118" s="8" t="inlineStr">
        <is>
          <t>初手は7枚。ターン終了時に手札が8枚以上あれば、7枚になるまで捨てる。</t>
        </is>
      </c>
      <c r="H118" s="8" t="inlineStr">
        <is>
          <t>アルファ (1993)</t>
        </is>
      </c>
      <c r="I118" s="8" t="inlineStr">
        <is>
          <t>手札を持ち越す方式なら上限は必須。上限超過分を捨てる代わりに廃棄にするなど罰則を変えると、ドロー過多の戦略に別の意味が出る。</t>
        </is>
      </c>
      <c r="J118" s="11" t="inlineStr">
        <is>
          <t>高</t>
        </is>
      </c>
      <c r="K118" s="8" t="inlineStr">
        <is>
          <t>なし</t>
        </is>
      </c>
      <c r="L118" s="12" t="inlineStr">
        <is>
          <t>×</t>
        </is>
      </c>
      <c r="M118" s="13" t="inlineStr">
        <is>
          <t>既存：ターン終了時に手札を全部捨てる</t>
        </is>
      </c>
    </row>
    <row r="119" ht="41.5" customHeight="1">
      <c r="A119" s="7" t="n">
        <v>118</v>
      </c>
      <c r="B119" s="8" t="inlineStr">
        <is>
          <t>ゲームシステム</t>
        </is>
      </c>
      <c r="C119" s="8" t="inlineStr">
        <is>
          <t>デッキ構築</t>
        </is>
      </c>
      <c r="D119" s="9" t="inlineStr">
        <is>
          <t>構築デッキのルール（60枚・4枚制限）</t>
        </is>
      </c>
      <c r="E119" s="10" t="inlineStr">
        <is>
          <t>Constructed deck rules</t>
        </is>
      </c>
      <c r="F119" s="7" t="inlineStr">
        <is>
          <t>100.2a</t>
        </is>
      </c>
      <c r="G119" s="8" t="inlineStr">
        <is>
          <t>構築戦のデッキは60枚以上で、基本土地以外の同名カードは4枚まで。最大15枚のサイドボードを持てる。</t>
        </is>
      </c>
      <c r="H119" s="8" t="n"/>
      <c r="I119" s="8" t="inlineStr">
        <is>
          <t>デッキ枚数を固定し、同名カードの上限をレアリティで変える（コモン3枚・レア1枚など）と、強いカードの重ね積みを防げる。ポイント上限との併用も可能。</t>
        </is>
      </c>
      <c r="J119" s="11" t="inlineStr">
        <is>
          <t>高</t>
        </is>
      </c>
      <c r="K119" s="8" t="inlineStr">
        <is>
          <t>デッキ構築ルール</t>
        </is>
      </c>
      <c r="L119" s="12" t="inlineStr">
        <is>
          <t>×</t>
        </is>
      </c>
      <c r="M119" s="13" t="inlineStr">
        <is>
          <t>既存：30枚・レアリティ別枚数上限</t>
        </is>
      </c>
    </row>
    <row r="120" ht="41.5" customHeight="1">
      <c r="A120" s="7" t="n">
        <v>119</v>
      </c>
      <c r="B120" s="8" t="inlineStr">
        <is>
          <t>ゲームシステム</t>
        </is>
      </c>
      <c r="C120" s="8" t="inlineStr">
        <is>
          <t>デッキ構築</t>
        </is>
      </c>
      <c r="D120" s="9" t="inlineStr">
        <is>
          <t>リミテッド（40枚）</t>
        </is>
      </c>
      <c r="E120" s="10" t="inlineStr">
        <is>
          <t>Limited deck rules</t>
        </is>
      </c>
      <c r="F120" s="7" t="inlineStr">
        <is>
          <t>100.2b</t>
        </is>
      </c>
      <c r="G120" s="8" t="inlineStr">
        <is>
          <t>ドラフトやシールドなど、その場で手に入れたカードで組む形式。デッキは40枚以上で、同名カードの枚数制限はない。</t>
        </is>
      </c>
      <c r="H120" s="8" t="n"/>
      <c r="I120" s="8" t="inlineStr">
        <is>
          <t>オンラインのドラフト・モードとして移植しやすい。プールから順に選んで小さめのデッキを組む形式は、ポイント制カードの強さ検証にも役立つ。</t>
        </is>
      </c>
      <c r="J120" s="11" t="inlineStr">
        <is>
          <t>中</t>
        </is>
      </c>
      <c r="K120" s="8" t="inlineStr">
        <is>
          <t>ドラフトUI</t>
        </is>
      </c>
      <c r="L120" s="12" t="inlineStr">
        <is>
          <t>△</t>
        </is>
      </c>
      <c r="M120" s="13" t="inlineStr">
        <is>
          <t>ドラフトモードは将来候補。カード要素ではない</t>
        </is>
      </c>
    </row>
    <row r="121" ht="45.5" customHeight="1">
      <c r="A121" s="7" t="n">
        <v>120</v>
      </c>
      <c r="B121" s="8" t="inlineStr">
        <is>
          <t>ゲームシステム</t>
        </is>
      </c>
      <c r="C121" s="8" t="inlineStr">
        <is>
          <t>デッキ構築</t>
        </is>
      </c>
      <c r="D121" s="9" t="inlineStr">
        <is>
          <t>統率者戦（コマンダー）のデッキ構築</t>
        </is>
      </c>
      <c r="E121" s="10" t="inlineStr">
        <is>
          <t>Commander deck construction</t>
        </is>
      </c>
      <c r="F121" s="7" t="inlineStr">
        <is>
          <t>903.5</t>
        </is>
      </c>
      <c r="G121" s="8" t="inlineStr">
        <is>
          <t>統率者を含むちょうど100枚で、基本土地以外は同名1枚まで。初期ライフは40点。日本語名は2026年にコマンダーへ変更。</t>
        </is>
      </c>
      <c r="H121" s="8" t="inlineStr">
        <is>
          <t>統率者 (2011)</t>
        </is>
      </c>
      <c r="I121" s="8" t="inlineStr">
        <is>
          <t>全カード1枚制限の大型デッキ形式。ランダム性が高く毎回展開が変わる。ポイント制なら「1枚制限の代わりにポイント上限を緩める」別モードとして用意できる。</t>
        </is>
      </c>
      <c r="J121" s="11" t="inlineStr">
        <is>
          <t>高</t>
        </is>
      </c>
      <c r="K121" s="8" t="inlineStr">
        <is>
          <t>デッキ構築ルール</t>
        </is>
      </c>
      <c r="L121" s="12" t="inlineStr">
        <is>
          <t>×</t>
        </is>
      </c>
      <c r="M121" s="13" t="inlineStr">
        <is>
          <t>統率者前提</t>
        </is>
      </c>
    </row>
    <row r="122" ht="41.5" customHeight="1">
      <c r="A122" s="7" t="n">
        <v>121</v>
      </c>
      <c r="B122" s="8" t="inlineStr">
        <is>
          <t>ゲームシステム</t>
        </is>
      </c>
      <c r="C122" s="8" t="inlineStr">
        <is>
          <t>デッキ構築</t>
        </is>
      </c>
      <c r="D122" s="9" t="inlineStr">
        <is>
          <t>固有色</t>
        </is>
      </c>
      <c r="E122" s="10" t="inlineStr">
        <is>
          <t>Color identity</t>
        </is>
      </c>
      <c r="F122" s="7" t="inlineStr">
        <is>
          <t>903.4</t>
        </is>
      </c>
      <c r="G122" s="8" t="inlineStr">
        <is>
          <t>統率者のマナ・コストや文章中のマナ・シンボルで決まる色。デッキのカードはその色の範囲に限られる。</t>
        </is>
      </c>
      <c r="H122" s="8" t="inlineStr">
        <is>
          <t>統率者 (2011)</t>
        </is>
      </c>
      <c r="I122" s="8" t="inlineStr">
        <is>
          <t>リーダーの属性がデッキに入れられるカードを決める仕組み。リーダー選びが構築の制約になるので、リーダーごとに使える属性を2つまでにするとキャラの個性が出る。</t>
        </is>
      </c>
      <c r="J122" s="11" t="inlineStr">
        <is>
          <t>高</t>
        </is>
      </c>
      <c r="K122" s="8" t="inlineStr">
        <is>
          <t>キャラ選択</t>
        </is>
      </c>
      <c r="L122" s="12" t="inlineStr">
        <is>
          <t>×</t>
        </is>
      </c>
      <c r="M122" s="13" t="inlineStr">
        <is>
          <t>色前提</t>
        </is>
      </c>
    </row>
    <row r="123" ht="41.5" customHeight="1">
      <c r="A123" s="7" t="n">
        <v>122</v>
      </c>
      <c r="B123" s="8" t="inlineStr">
        <is>
          <t>ゲームシステム</t>
        </is>
      </c>
      <c r="C123" s="8" t="inlineStr">
        <is>
          <t>デッキ構築</t>
        </is>
      </c>
      <c r="D123" s="9" t="inlineStr">
        <is>
          <t>レアリティ</t>
        </is>
      </c>
      <c r="E123" s="10" t="inlineStr">
        <is>
          <t>Rarity</t>
        </is>
      </c>
      <c r="F123" s="7" t="inlineStr">
        <is>
          <t>206.2</t>
        </is>
      </c>
      <c r="G123" s="8" t="inlineStr">
        <is>
          <t>コモン・アンコモン・レア・神話レアの4段階。エキスパンション・シンボルの色で示され、封入率が異なる。</t>
        </is>
      </c>
      <c r="H123" s="8" t="inlineStr">
        <is>
          <t>アルファ (1993)</t>
        </is>
      </c>
      <c r="I123" s="8" t="inlineStr">
        <is>
          <t>ユーザーのゲームにもある概念。レアリティごとにポイント予算の上限を変える（コモン10点・レア15点など）と、レアリティが強さと直結して調整しやすい。</t>
        </is>
      </c>
      <c r="J123" s="11" t="inlineStr">
        <is>
          <t>高</t>
        </is>
      </c>
      <c r="K123" s="8" t="inlineStr">
        <is>
          <t>デッキ構築ルール</t>
        </is>
      </c>
      <c r="L123" s="12" t="inlineStr">
        <is>
          <t>×</t>
        </is>
      </c>
      <c r="M123" s="13" t="inlineStr">
        <is>
          <t>既存：レアリティ</t>
        </is>
      </c>
    </row>
    <row r="124" ht="37.5" customHeight="1">
      <c r="A124" s="7" t="n">
        <v>123</v>
      </c>
      <c r="B124" s="8" t="inlineStr">
        <is>
          <t>ゲームシステム</t>
        </is>
      </c>
      <c r="C124" s="8" t="inlineStr">
        <is>
          <t>ルール基盤</t>
        </is>
      </c>
      <c r="D124" s="9" t="inlineStr">
        <is>
          <t>レジェンド・ルール</t>
        </is>
      </c>
      <c r="E124" s="10" t="inlineStr">
        <is>
          <t>Legend rule</t>
        </is>
      </c>
      <c r="F124" s="7" t="inlineStr">
        <is>
          <t>704.5j</t>
        </is>
      </c>
      <c r="G124" s="8" t="inlineStr">
        <is>
          <t>同じプレイヤーが同名の伝説のパーマネントを2つ以上持つと、1つを選んで残りを墓地に置く。</t>
        </is>
      </c>
      <c r="H124" s="8" t="inlineStr">
        <is>
          <t>レジェンド (1994)</t>
        </is>
      </c>
      <c r="I124" s="8" t="inlineStr">
        <is>
          <t>同名ユニークの重複を自動で解消する処理。重複時に古い方と新しい方のどちらを残すか選ばせると、登場時効果を再利用するテクニックが生まれる。</t>
        </is>
      </c>
      <c r="J124" s="11" t="inlineStr">
        <is>
          <t>高</t>
        </is>
      </c>
      <c r="K124" s="8" t="inlineStr">
        <is>
          <t>ユニーク判定</t>
        </is>
      </c>
      <c r="L124" s="12" t="inlineStr">
        <is>
          <t>×</t>
        </is>
      </c>
      <c r="M124" s="13" t="inlineStr">
        <is>
          <t>No.17の『伝説』デメリットに統合</t>
        </is>
      </c>
    </row>
    <row r="125" ht="41.5" customHeight="1">
      <c r="A125" s="7" t="n">
        <v>124</v>
      </c>
      <c r="B125" s="8" t="inlineStr">
        <is>
          <t>ゲームシステム</t>
        </is>
      </c>
      <c r="C125" s="8" t="inlineStr">
        <is>
          <t>展開・トークン</t>
        </is>
      </c>
      <c r="D125" s="9" t="inlineStr">
        <is>
          <t>トークン</t>
        </is>
      </c>
      <c r="E125" s="10" t="inlineStr">
        <is>
          <t>Token</t>
        </is>
      </c>
      <c r="F125" s="7" t="inlineStr">
        <is>
          <t>111</t>
        </is>
      </c>
      <c r="G125" s="8" t="inlineStr">
        <is>
          <t>カードではなく効果によって生成されるパーマネント。戦場から他の領域へ移ると消滅する。</t>
        </is>
      </c>
      <c r="H125" s="8" t="inlineStr">
        <is>
          <t>アルファ (1993)</t>
        </is>
      </c>
      <c r="I125" s="8" t="inlineStr">
        <is>
          <t>一時ユニットや一時カードの生成。「捨て札に行くと消える」処理はデジタルなら簡単。生成数×1体の価値でポイント化し、定義済みトークンを少数用意するとカード文が短くなる。</t>
        </is>
      </c>
      <c r="J125" s="11" t="inlineStr">
        <is>
          <t>高</t>
        </is>
      </c>
      <c r="K125" s="8" t="inlineStr">
        <is>
          <t>ユニット</t>
        </is>
      </c>
      <c r="L125" s="12" t="inlineStr">
        <is>
          <t>◎</t>
        </is>
      </c>
      <c r="M125" s="13" t="inlineStr">
        <is>
          <t>【今回実装：トークン生成】今回実装 効果『トークン生成』token：攻撃力・体力Nの小鬼をM体（#604と統合）</t>
        </is>
      </c>
    </row>
    <row r="126" ht="37.5" customHeight="1">
      <c r="A126" s="7" t="n">
        <v>125</v>
      </c>
      <c r="B126" s="8" t="inlineStr">
        <is>
          <t>ゲームシステム</t>
        </is>
      </c>
      <c r="C126" s="8" t="inlineStr">
        <is>
          <t>反復・再利用</t>
        </is>
      </c>
      <c r="D126" s="9" t="inlineStr">
        <is>
          <t>コピー</t>
        </is>
      </c>
      <c r="E126" s="10" t="inlineStr">
        <is>
          <t>Copy</t>
        </is>
      </c>
      <c r="F126" s="7" t="inlineStr">
        <is>
          <t>707</t>
        </is>
      </c>
      <c r="G126" s="8" t="inlineStr">
        <is>
          <t>他のオブジェクトの写しとなる値を取り込む効果。呪文のコピーやコピーのトークンを作れる。</t>
        </is>
      </c>
      <c r="H126" s="8" t="inlineStr">
        <is>
          <t>アルファ (1993)</t>
        </is>
      </c>
      <c r="I126" s="8" t="inlineStr">
        <is>
          <t>手札や場のカードを複製する効果。データの複製は簡単だが、コピーにさらにコピー効果が重なると暴走するので、複製元のポイントに応じてコストが増える設計にする。</t>
        </is>
      </c>
      <c r="J126" s="11" t="inlineStr">
        <is>
          <t>高</t>
        </is>
      </c>
      <c r="K126" s="8" t="inlineStr">
        <is>
          <t>なし</t>
        </is>
      </c>
      <c r="L126" s="12" t="inlineStr">
        <is>
          <t>×</t>
        </is>
      </c>
      <c r="M126" s="13" t="inlineStr">
        <is>
          <t>既存：複製</t>
        </is>
      </c>
    </row>
    <row r="127" ht="45.5" customHeight="1">
      <c r="A127" s="7" t="n">
        <v>126</v>
      </c>
      <c r="B127" s="8" t="inlineStr">
        <is>
          <t>ゲームシステム</t>
        </is>
      </c>
      <c r="C127" s="8" t="inlineStr">
        <is>
          <t>ルール基盤</t>
        </is>
      </c>
      <c r="D127" s="9" t="inlineStr">
        <is>
          <t>ダメージとライフの喪失</t>
        </is>
      </c>
      <c r="E127" s="10" t="inlineStr">
        <is>
          <t>Damage vs. life loss</t>
        </is>
      </c>
      <c r="F127" s="7" t="inlineStr">
        <is>
          <t>120.3</t>
        </is>
      </c>
      <c r="G127" s="8" t="inlineStr">
        <is>
          <t>ダメージは軽減や絆魂などの対象になるが、ライフの喪失は発生源を持たず軽減できない。</t>
        </is>
      </c>
      <c r="H127" s="8" t="inlineStr">
        <is>
          <t>アルファ (1993)</t>
        </is>
      </c>
      <c r="I127" s="10" t="inlineStr">
        <is>
          <t>StS型でいえば「ブロック値で防げる攻撃」と「ブロックを貫通するHP減少」の違い。両者を明確に分け、貫通側のポイント単価を高く設定すると防御デッキへの対策になる。</t>
        </is>
      </c>
      <c r="J127" s="11" t="inlineStr">
        <is>
          <t>高</t>
        </is>
      </c>
      <c r="K127" s="10" t="inlineStr">
        <is>
          <t>HP・ブロック値</t>
        </is>
      </c>
      <c r="L127" s="12" t="inlineStr">
        <is>
          <t>×</t>
        </is>
      </c>
      <c r="M127" s="13" t="inlineStr">
        <is>
          <t>既存：防御無視（守備力・シールドを無視）</t>
        </is>
      </c>
    </row>
    <row r="128" ht="41.5" customHeight="1">
      <c r="A128" s="7" t="n">
        <v>127</v>
      </c>
      <c r="B128" s="8" t="inlineStr">
        <is>
          <t>ゲームシステム</t>
        </is>
      </c>
      <c r="C128" s="8" t="inlineStr">
        <is>
          <t>妨害</t>
        </is>
      </c>
      <c r="D128" s="9" t="inlineStr">
        <is>
          <t>オーナーとコントローラー</t>
        </is>
      </c>
      <c r="E128" s="10" t="inlineStr">
        <is>
          <t>Owner / Controller</t>
        </is>
      </c>
      <c r="F128" s="7" t="inlineStr">
        <is>
          <t>108.3</t>
        </is>
      </c>
      <c r="G128" s="8" t="inlineStr">
        <is>
          <t>カードの持ち主と、現在それを操作しているプレイヤーの区別。コントロール奪取の効果で両者が分かれる。</t>
        </is>
      </c>
      <c r="H128" s="8" t="inlineStr">
        <is>
          <t>アルファ (1993)</t>
        </is>
      </c>
      <c r="I128" s="8" t="inlineStr">
        <is>
          <t>相手のユニットを一時的に奪う効果の基盤。所有者IDと操作者IDを分けて持たせ、効果終了時やカードが場を離れたときに所有者へ戻す処理を共通化する。</t>
        </is>
      </c>
      <c r="J128" s="11" t="inlineStr">
        <is>
          <t>中</t>
        </is>
      </c>
      <c r="K128" s="8" t="inlineStr">
        <is>
          <t>ユニット</t>
        </is>
      </c>
      <c r="L128" s="12" t="inlineStr">
        <is>
          <t>◎</t>
        </is>
      </c>
      <c r="M128" s="13" t="inlineStr">
        <is>
          <t>【今回実装：効果『借用』（`borrow`・バッチB）】（審査時は○）効果『一時奪取』：相手モンスター1体をこのターンだけ奪い速攻を与え、ターン終了時に返す。レア以上</t>
        </is>
      </c>
    </row>
    <row r="129" ht="41.5" customHeight="1">
      <c r="A129" s="7" t="n">
        <v>128</v>
      </c>
      <c r="B129" s="8" t="inlineStr">
        <is>
          <t>ゲームシステム</t>
        </is>
      </c>
      <c r="C129" s="8" t="inlineStr">
        <is>
          <t>ルール基盤</t>
        </is>
      </c>
      <c r="D129" s="9" t="inlineStr">
        <is>
          <t>対象</t>
        </is>
      </c>
      <c r="E129" s="10" t="inlineStr">
        <is>
          <t>Target</t>
        </is>
      </c>
      <c r="F129" s="7" t="inlineStr">
        <is>
          <t>115</t>
        </is>
      </c>
      <c r="G129" s="8" t="inlineStr">
        <is>
          <t>呪文や能力が影響を与える相手を唱えるときに選ぶ仕組み。解決時に対象が不正だと効果は起きない。</t>
        </is>
      </c>
      <c r="H129" s="8" t="inlineStr">
        <is>
          <t>アルファ (1993)</t>
        </is>
      </c>
      <c r="I129" s="8" t="inlineStr">
        <is>
          <t>対象を取る効果と取らない全体効果を区別すると、「対象にならない」耐性を作れる。選択UIはクリックだけで済むが、不正対象のチェックを共通化しておく。</t>
        </is>
      </c>
      <c r="J129" s="11" t="inlineStr">
        <is>
          <t>中</t>
        </is>
      </c>
      <c r="K129" s="8" t="inlineStr">
        <is>
          <t>なし</t>
        </is>
      </c>
      <c r="L129" s="12" t="inlineStr">
        <is>
          <t>◎</t>
        </is>
      </c>
      <c r="M129" s="13" t="inlineStr">
        <is>
          <t>【今回実装：呪禁】今回実装 キーワード『呪禁』hexproof（#206と統合）</t>
        </is>
      </c>
    </row>
    <row r="130" ht="41.5" customHeight="1">
      <c r="A130" s="7" t="n">
        <v>129</v>
      </c>
      <c r="B130" s="8" t="inlineStr">
        <is>
          <t>ゲームシステム</t>
        </is>
      </c>
      <c r="C130" s="8" t="inlineStr">
        <is>
          <t>コスト・リソース</t>
        </is>
      </c>
      <c r="D130" s="9" t="inlineStr">
        <is>
          <t>土地のプレイ（1ターン1回）</t>
        </is>
      </c>
      <c r="E130" s="10" t="inlineStr">
        <is>
          <t>Playing a land</t>
        </is>
      </c>
      <c r="F130" s="7" t="inlineStr">
        <is>
          <t>305.2</t>
        </is>
      </c>
      <c r="G130" s="8" t="inlineStr">
        <is>
          <t>土地は唱えずにプレイする特別な処理。通常は自分のメイン・フェイズに1ターン1回だけ行える。</t>
        </is>
      </c>
      <c r="H130" s="8" t="inlineStr">
        <is>
          <t>アルファ (1993)</t>
        </is>
      </c>
      <c r="I130" s="8" t="inlineStr">
        <is>
          <t>資源カードを置ける回数を1ターン1回に制限する。追加で資源を置ける効果に価値が出る。資源はコストなしで置ける代わりに、回数の枠で調整する。</t>
        </is>
      </c>
      <c r="J130" s="11" t="inlineStr">
        <is>
          <t>高</t>
        </is>
      </c>
      <c r="K130" s="8" t="inlineStr">
        <is>
          <t>資源カード</t>
        </is>
      </c>
      <c r="L130" s="12" t="inlineStr">
        <is>
          <t>×</t>
        </is>
      </c>
      <c r="M130" s="13" t="inlineStr">
        <is>
          <t>土地前提</t>
        </is>
      </c>
    </row>
    <row r="131" ht="37.5" customHeight="1">
      <c r="A131" s="7" t="n">
        <v>130</v>
      </c>
      <c r="B131" s="8" t="inlineStr">
        <is>
          <t>ゲームシステム</t>
        </is>
      </c>
      <c r="C131" s="8" t="inlineStr">
        <is>
          <t>成長・カウンター</t>
        </is>
      </c>
      <c r="D131" s="9" t="inlineStr">
        <is>
          <t>両面カード</t>
        </is>
      </c>
      <c r="E131" s="10" t="inlineStr">
        <is>
          <t>Double-faced cards</t>
        </is>
      </c>
      <c r="F131" s="7" t="inlineStr">
        <is>
          <t>712</t>
        </is>
      </c>
      <c r="G131" s="8" t="inlineStr">
        <is>
          <t>表と裏の2つの面を持つカード。変身で裏返り、別の特性を持つカードとして働く。</t>
        </is>
      </c>
      <c r="H131" s="8" t="inlineStr">
        <is>
          <t>イニストラード (2011)</t>
        </is>
      </c>
      <c r="I131" s="8" t="inlineStr">
        <is>
          <t>条件達成で裏面に変わる成長カード。デジタルなら物理的な裏面は不要で演出も付けられる。表と裏のポイントを別々に計算し、変身条件の難しさで裏面を割り引く。</t>
        </is>
      </c>
      <c r="J131" s="11" t="inlineStr">
        <is>
          <t>中</t>
        </is>
      </c>
      <c r="K131" s="8" t="inlineStr">
        <is>
          <t>状態フラグ</t>
        </is>
      </c>
      <c r="L131" s="12" t="inlineStr">
        <is>
          <t>×</t>
        </is>
      </c>
      <c r="M131" s="13" t="inlineStr">
        <is>
          <t>No.56の進化に統合</t>
        </is>
      </c>
    </row>
    <row r="132" ht="37.5" customHeight="1">
      <c r="A132" s="7" t="n">
        <v>131</v>
      </c>
      <c r="B132" s="8" t="inlineStr">
        <is>
          <t>ゲームシステム</t>
        </is>
      </c>
      <c r="C132" s="8" t="inlineStr">
        <is>
          <t>その他</t>
        </is>
      </c>
      <c r="D132" s="9" t="inlineStr">
        <is>
          <t>サイコロとコイン投げ</t>
        </is>
      </c>
      <c r="E132" s="10" t="inlineStr">
        <is>
          <t>Rolling a die / Flipping a coin</t>
        </is>
      </c>
      <c r="F132" s="7" t="inlineStr">
        <is>
          <t>706</t>
        </is>
      </c>
      <c r="G132" s="8" t="inlineStr">
        <is>
          <t>ダイスを振る、コインを投げるなど乱数を使う効果。出目や表裏によって結果が変わる。</t>
        </is>
      </c>
      <c r="H132" s="8" t="n"/>
      <c r="I132" s="8" t="inlineStr">
        <is>
          <t>乱数を見せる演出。デジタルでは偏りを抑えた疑似乱数も選べる。期待値でポイントを算出し、振り直し効果をセットにすると運要素をプレイヤーが制御できる。</t>
        </is>
      </c>
      <c r="J132" s="11" t="inlineStr">
        <is>
          <t>高</t>
        </is>
      </c>
      <c r="K132" s="8" t="inlineStr">
        <is>
          <t>乱数</t>
        </is>
      </c>
      <c r="L132" s="12" t="inlineStr">
        <is>
          <t>◎</t>
        </is>
      </c>
      <c r="M132" s="13" t="inlineStr">
        <is>
          <t>【今回実装：コイン投げで表（50%）】今回実装 条件『コイン投げで表（50%）』coinFlip（シード付き乱数）</t>
        </is>
      </c>
    </row>
    <row r="133" ht="45.5" customHeight="1">
      <c r="A133" s="7" t="n">
        <v>132</v>
      </c>
      <c r="B133" s="8" t="inlineStr">
        <is>
          <t>ゲームシステム</t>
        </is>
      </c>
      <c r="C133" s="8" t="inlineStr">
        <is>
          <t>強化</t>
        </is>
      </c>
      <c r="D133" s="9" t="inlineStr">
        <is>
          <t>ステッカー</t>
        </is>
      </c>
      <c r="E133" s="10" t="inlineStr">
        <is>
          <t>Stickers</t>
        </is>
      </c>
      <c r="F133" s="7" t="inlineStr">
        <is>
          <t>123</t>
        </is>
      </c>
      <c r="G133" s="10" t="inlineStr">
        <is>
          <t>Unfinityの仕組み。チケット・カウンターを払って名前・能力・P/Tのステッカーをカードに貼り、恒久的に書き換える。</t>
        </is>
      </c>
      <c r="H133" s="10" t="inlineStr">
        <is>
          <t>Unfinity (2022)</t>
        </is>
      </c>
      <c r="I133" s="8" t="inlineStr">
        <is>
          <t>デジタル向きのカード書き換え。試合中に得た強化パーツをカードに貼る仕組みは、ポイント制のカスタム要素と直結する。貼れる枚数上限で強さを調整する。</t>
        </is>
      </c>
      <c r="J133" s="11" t="inlineStr">
        <is>
          <t>中</t>
        </is>
      </c>
      <c r="K133" s="8" t="inlineStr">
        <is>
          <t>カード書き換え</t>
        </is>
      </c>
      <c r="L133" s="12" t="inlineStr">
        <is>
          <t>×</t>
        </is>
      </c>
      <c r="M133" s="13" t="inlineStr">
        <is>
          <t>カード書き換えは重い</t>
        </is>
      </c>
    </row>
    <row r="134" ht="41.5" customHeight="1">
      <c r="A134" s="7" t="n">
        <v>133</v>
      </c>
      <c r="B134" s="8" t="inlineStr">
        <is>
          <t>ゲームシステム</t>
        </is>
      </c>
      <c r="C134" s="8" t="inlineStr">
        <is>
          <t>コスト・リソース</t>
        </is>
      </c>
      <c r="D134" s="9" t="inlineStr">
        <is>
          <t>追加コストと代替コスト</t>
        </is>
      </c>
      <c r="E134" s="10" t="inlineStr">
        <is>
          <t>Additional / Alternative costs</t>
        </is>
      </c>
      <c r="F134" s="7" t="inlineStr">
        <is>
          <t>118.8</t>
        </is>
      </c>
      <c r="G134" s="8" t="inlineStr">
        <is>
          <t>本来のコストに加えて払う追加コストと、代わりに払える代替コスト。生け贄、ライフ、手札なども使われる。</t>
        </is>
      </c>
      <c r="H134" s="8" t="inlineStr">
        <is>
          <t>アルファ (1993)</t>
        </is>
      </c>
      <c r="I134" s="8" t="inlineStr">
        <is>
          <t>「手札1枚を捨てて使う」「HPを3払えばコスト0」などエネルギー以外の支払い手段。コストの種類ごとに換算値を決め、効果側のポイント予算に加算する。</t>
        </is>
      </c>
      <c r="J134" s="11" t="inlineStr">
        <is>
          <t>中</t>
        </is>
      </c>
      <c r="K134" s="8" t="inlineStr">
        <is>
          <t>コスト処理</t>
        </is>
      </c>
      <c r="L134" s="12" t="inlineStr">
        <is>
          <t>◎</t>
        </is>
      </c>
      <c r="M134" s="13" t="inlineStr">
        <is>
          <t>【今回実装：生け贄】追加コストの部分はデメリット『生け贄』sacrifice として今回実装（#425と統合）</t>
        </is>
      </c>
    </row>
    <row r="135" ht="37.5" customHeight="1">
      <c r="A135" s="7" t="n">
        <v>134</v>
      </c>
      <c r="B135" s="8" t="inlineStr">
        <is>
          <t>ゲームシステム</t>
        </is>
      </c>
      <c r="C135" s="8" t="inlineStr">
        <is>
          <t>コスト・リソース</t>
        </is>
      </c>
      <c r="D135" s="9" t="inlineStr">
        <is>
          <t>マナ能力</t>
        </is>
      </c>
      <c r="E135" s="10" t="inlineStr">
        <is>
          <t>Mana ability</t>
        </is>
      </c>
      <c r="F135" s="7" t="inlineStr">
        <is>
          <t>605</t>
        </is>
      </c>
      <c r="G135" s="8" t="inlineStr">
        <is>
          <t>マナを生み出す能力。スタックを使わず即座に解決するため、対応されることがない。</t>
        </is>
      </c>
      <c r="H135" s="8" t="inlineStr">
        <is>
          <t>アルファ (1993)</t>
        </is>
      </c>
      <c r="I135" s="8" t="inlineStr">
        <is>
          <t>エネルギーを生む能力は割り込み不可の即時処理にしておく。支払いの途中で起動できるようにすると、オンラインでも操作が止まらずに済む。</t>
        </is>
      </c>
      <c r="J135" s="11" t="inlineStr">
        <is>
          <t>高</t>
        </is>
      </c>
      <c r="K135" s="8" t="inlineStr">
        <is>
          <t>マナ/エネルギー</t>
        </is>
      </c>
      <c r="L135" s="12" t="inlineStr">
        <is>
          <t>×</t>
        </is>
      </c>
      <c r="M135" s="13" t="inlineStr">
        <is>
          <t>マナ前提</t>
        </is>
      </c>
    </row>
    <row r="136" ht="45.5" customHeight="1">
      <c r="A136" s="7" t="n">
        <v>135</v>
      </c>
      <c r="B136" s="8" t="inlineStr">
        <is>
          <t>ゲームシステム</t>
        </is>
      </c>
      <c r="C136" s="8" t="inlineStr">
        <is>
          <t>反復・再利用</t>
        </is>
      </c>
      <c r="D136" s="9" t="inlineStr">
        <is>
          <t>忠誠度能力</t>
        </is>
      </c>
      <c r="E136" s="10" t="inlineStr">
        <is>
          <t>Loyalty ability</t>
        </is>
      </c>
      <c r="F136" s="7" t="inlineStr">
        <is>
          <t>606</t>
        </is>
      </c>
      <c r="G136" s="8" t="inlineStr">
        <is>
          <t>忠誠カウンターの増減をコストとする、プレインズウォーカーの起動型能力。1ターンに1回、ソーサリー・タイミングでのみ使える。</t>
        </is>
      </c>
      <c r="H136" s="8" t="inlineStr">
        <is>
          <t>ローウィン (2007)</t>
        </is>
      </c>
      <c r="I136" s="8" t="inlineStr">
        <is>
          <t>「+1で小技、-3で中技、-7で大技」のように、溜めて撃つか今使うかを毎ターン選ばせる。1ターン1回の制限で暴走せず、各能力のポイントも個別に付けられる。</t>
        </is>
      </c>
      <c r="J136" s="11" t="inlineStr">
        <is>
          <t>中</t>
        </is>
      </c>
      <c r="K136" s="8" t="inlineStr">
        <is>
          <t>サブ司令塔カード</t>
        </is>
      </c>
      <c r="L136" s="12" t="inlineStr">
        <is>
          <t>×</t>
        </is>
      </c>
      <c r="M136" s="13" t="inlineStr">
        <is>
          <t>忠誠度は重い。No.108で代用</t>
        </is>
      </c>
    </row>
    <row r="137" ht="41.5" customHeight="1">
      <c r="A137" s="7" t="n">
        <v>136</v>
      </c>
      <c r="B137" s="8" t="inlineStr">
        <is>
          <t>ゲームシステム</t>
        </is>
      </c>
      <c r="C137" s="8" t="inlineStr">
        <is>
          <t>妨害</t>
        </is>
      </c>
      <c r="D137" s="9" t="inlineStr">
        <is>
          <t>裏向きの呪文とパーマネント</t>
        </is>
      </c>
      <c r="E137" s="10" t="inlineStr">
        <is>
          <t>Face-down spells and permanents</t>
        </is>
      </c>
      <c r="F137" s="7" t="inlineStr">
        <is>
          <t>708</t>
        </is>
      </c>
      <c r="G137" s="8" t="inlineStr">
        <is>
          <t>裏向きで唱えたり戦場に出したりしたものは、名前も能力もない2/2として扱われ、正体はコントローラーだけが知る。</t>
        </is>
      </c>
      <c r="H137" s="8" t="inlineStr">
        <is>
          <t>オンスロート (2002)</t>
        </is>
      </c>
      <c r="I137" s="8" t="inlineStr">
        <is>
          <t>伏せカードの仕組み。デジタルなら正体を相手に送らず安全に隠せる。伏せた状態の基本性能と、表にする条件・コストを別々にポイント化する。</t>
        </is>
      </c>
      <c r="J137" s="11" t="inlineStr">
        <is>
          <t>中</t>
        </is>
      </c>
      <c r="K137" s="8" t="inlineStr">
        <is>
          <t>隠し情報</t>
        </is>
      </c>
      <c r="L137" s="12" t="inlineStr">
        <is>
          <t>×</t>
        </is>
      </c>
      <c r="M137" s="13" t="inlineStr">
        <is>
          <t>隠し情報の盤面は重い</t>
        </is>
      </c>
    </row>
    <row r="138" ht="37.5" customHeight="1">
      <c r="A138" s="7" t="n">
        <v>137</v>
      </c>
      <c r="B138" s="8" t="inlineStr">
        <is>
          <t>ゲームシステム</t>
        </is>
      </c>
      <c r="C138" s="8" t="inlineStr">
        <is>
          <t>ルール基盤</t>
        </is>
      </c>
      <c r="D138" s="9" t="inlineStr">
        <is>
          <t>公開領域と非公開領域</t>
        </is>
      </c>
      <c r="E138" s="10" t="inlineStr">
        <is>
          <t>Public / hidden zones</t>
        </is>
      </c>
      <c r="F138" s="7" t="inlineStr">
        <is>
          <t>400.2</t>
        </is>
      </c>
      <c r="G138" s="8" t="inlineStr">
        <is>
          <t>墓地・戦場・スタック・追放・統率領域は公開領域。ライブラリーと手札は非公開領域で、中身は一部の人しか見られない。</t>
        </is>
      </c>
      <c r="H138" s="8" t="inlineStr">
        <is>
          <t>アルファ (1993)</t>
        </is>
      </c>
      <c r="I138" s="8" t="inlineStr">
        <is>
          <t>オンラインでは非公開情報をサーバー側だけで持ち、相手のクライアントに送らない設計が必須。手札を公開させる効果は公開フラグを立てるだけで実装できる。</t>
        </is>
      </c>
      <c r="J138" s="11" t="inlineStr">
        <is>
          <t>中</t>
        </is>
      </c>
      <c r="K138" s="8" t="inlineStr">
        <is>
          <t>サーバー権威設計</t>
        </is>
      </c>
      <c r="L138" s="12" t="inlineStr">
        <is>
          <t>×</t>
        </is>
      </c>
      <c r="M138" s="13" t="inlineStr">
        <is>
          <t>既存：view（非公開情報を隠す）</t>
        </is>
      </c>
    </row>
    <row r="139" ht="41.5" customHeight="1">
      <c r="A139" s="7" t="n">
        <v>138</v>
      </c>
      <c r="B139" s="8" t="inlineStr">
        <is>
          <t>ゲームシステム</t>
        </is>
      </c>
      <c r="C139" s="8" t="inlineStr">
        <is>
          <t>多人数・交流</t>
        </is>
      </c>
      <c r="D139" s="9" t="inlineStr">
        <is>
          <t>多人数戦</t>
        </is>
      </c>
      <c r="E139" s="10" t="inlineStr">
        <is>
          <t>Multiplayer games</t>
        </is>
      </c>
      <c r="F139" s="7" t="inlineStr">
        <is>
          <t>800</t>
        </is>
      </c>
      <c r="G139" s="10" t="inlineStr">
        <is>
          <t>3人以上での対戦。フリー・フォー・オールや双頭巨人戦などの変種があり、影響範囲や攻撃先のルールが追加される。</t>
        </is>
      </c>
      <c r="H139" s="8" t="n"/>
      <c r="I139" s="10" t="inlineStr">
        <is>
          <t>3〜4人の乱戦モード。誰を攻撃するかの交渉や、1位を叩く政治が生まれる。「各対戦相手に」効果は人数で価値が変わるため、多人数用にポイントを補正する。</t>
        </is>
      </c>
      <c r="J139" s="11" t="inlineStr">
        <is>
          <t>中</t>
        </is>
      </c>
      <c r="K139" s="8" t="inlineStr">
        <is>
          <t>多人数マッチング</t>
        </is>
      </c>
      <c r="L139" s="12" t="inlineStr">
        <is>
          <t>×</t>
        </is>
      </c>
      <c r="M139" s="13" t="inlineStr">
        <is>
          <t>多人数前提</t>
        </is>
      </c>
    </row>
    <row r="140" ht="37.5" customHeight="1">
      <c r="A140" s="7" t="n">
        <v>139</v>
      </c>
      <c r="B140" s="8" t="inlineStr">
        <is>
          <t>ゲームシステム</t>
        </is>
      </c>
      <c r="C140" s="8" t="inlineStr">
        <is>
          <t>コスト・リソース</t>
        </is>
      </c>
      <c r="D140" s="9" t="inlineStr">
        <is>
          <t>マナ・バーン（廃止）</t>
        </is>
      </c>
      <c r="E140" s="10" t="inlineStr">
        <is>
          <t>Mana burn</t>
        </is>
      </c>
      <c r="F140" s="7" t="n"/>
      <c r="G140" s="8" t="inlineStr">
        <is>
          <t>使わずに消えたマナ1点につき1点のライフを失った旧ルール。基本セット2010のルール変更で廃止された。</t>
        </is>
      </c>
      <c r="H140" s="8" t="inlineStr">
        <is>
          <t>アルファ (1993)</t>
        </is>
      </c>
      <c r="I140" s="8" t="inlineStr">
        <is>
          <t>余ったエネルギーへの罰。廃止の理由（直感的でなく窮屈）を踏まえると、逆に余ったエネルギーの一部を次ターンへ持ち越せる報酬型にする方が遊びやすい。</t>
        </is>
      </c>
      <c r="J140" s="11" t="inlineStr">
        <is>
          <t>高</t>
        </is>
      </c>
      <c r="K140" s="8" t="inlineStr">
        <is>
          <t>マナ/エネルギー</t>
        </is>
      </c>
      <c r="L140" s="12" t="inlineStr">
        <is>
          <t>◎</t>
        </is>
      </c>
      <c r="M140" s="13" t="inlineStr">
        <is>
          <t>【今回実装：効果『蓄え』（`bank`・バッチB）】（審査時は○）効果『蓄え』（パワー）：ターン終了時に余ったエナジーを次のターンへ持ち越す。15pt 目安</t>
        </is>
      </c>
    </row>
    <row r="141" ht="45.5" customHeight="1">
      <c r="A141" s="7" t="n">
        <v>140</v>
      </c>
      <c r="B141" s="8" t="inlineStr">
        <is>
          <t>カウンター</t>
        </is>
      </c>
      <c r="C141" s="8" t="inlineStr">
        <is>
          <t>成長・カウンター</t>
        </is>
      </c>
      <c r="D141" s="14" t="inlineStr">
        <is>
          <t>+1/+1カウンター</t>
        </is>
      </c>
      <c r="E141" s="10" t="inlineStr">
        <is>
          <t>+1/+1 counter</t>
        </is>
      </c>
      <c r="F141" s="7" t="inlineStr">
        <is>
          <t>122.1a</t>
        </is>
      </c>
      <c r="G141" s="8" t="inlineStr">
        <is>
          <t>クリーチャーのパワーとタフネスを1ずつ上げるカウンター。永続的な強化として最も多く使われる。</t>
        </is>
      </c>
      <c r="H141" s="8" t="inlineStr">
        <is>
          <t>アルファ (1993)</t>
        </is>
      </c>
      <c r="I141" s="8" t="inlineStr">
        <is>
          <t>ユニットの恒久成長。数値1つの加算で実装でき、数を参照する効果や他へ移す効果に発展させやすい。1個あたりのポイントを強化系の基準単価にする。</t>
        </is>
      </c>
      <c r="J141" s="11" t="inlineStr">
        <is>
          <t>高</t>
        </is>
      </c>
      <c r="K141" s="8" t="inlineStr">
        <is>
          <t>ユニット</t>
        </is>
      </c>
      <c r="L141" s="12" t="inlineStr">
        <is>
          <t>◎</t>
        </is>
      </c>
      <c r="M141" s="13" t="inlineStr">
        <is>
          <t>【今回実装：鍛錬】今回実装 効果『鍛錬』train：自分のモンスターの攻撃力と体力+N（永続）</t>
        </is>
      </c>
    </row>
    <row r="142" ht="45.5" customHeight="1">
      <c r="A142" s="7" t="n">
        <v>141</v>
      </c>
      <c r="B142" s="8" t="inlineStr">
        <is>
          <t>カウンター</t>
        </is>
      </c>
      <c r="C142" s="8" t="inlineStr">
        <is>
          <t>除去</t>
        </is>
      </c>
      <c r="D142" s="14" t="inlineStr">
        <is>
          <t>-1/-1カウンター</t>
        </is>
      </c>
      <c r="E142" s="10" t="inlineStr">
        <is>
          <t>-1/-1 counter</t>
        </is>
      </c>
      <c r="F142" s="7" t="inlineStr">
        <is>
          <t>122.1a</t>
        </is>
      </c>
      <c r="G142" s="8" t="inlineStr">
        <is>
          <t>パワーとタフネスを1ずつ下げるカウンター。+1/+1カウンターと同じ数ずつ互いに打ち消し合う。</t>
        </is>
      </c>
      <c r="H142" s="8" t="inlineStr">
        <is>
          <t>アラビアンナイト (1993)</t>
        </is>
      </c>
      <c r="I142" s="8" t="inlineStr">
        <is>
          <t>恒久的な弱体化。+1/+1と相殺する仕様にすると強化と弱体の綱引きが成立する。耐久0で撃破となるため除去手段にもなり、確定除去より安く設計できる。</t>
        </is>
      </c>
      <c r="J142" s="11" t="inlineStr">
        <is>
          <t>高</t>
        </is>
      </c>
      <c r="K142" s="8" t="inlineStr">
        <is>
          <t>ユニット</t>
        </is>
      </c>
      <c r="L142" s="12" t="inlineStr">
        <is>
          <t>◎</t>
        </is>
      </c>
      <c r="M142" s="13" t="inlineStr">
        <is>
          <t>【今回実装：衰弱】今回実装 効果『衰弱』wither：相手モンスターの攻撃力と体力−N（0で破壊）</t>
        </is>
      </c>
    </row>
    <row r="143" ht="41.5" customHeight="1">
      <c r="A143" s="7" t="n">
        <v>142</v>
      </c>
      <c r="B143" s="8" t="inlineStr">
        <is>
          <t>カウンター</t>
        </is>
      </c>
      <c r="C143" s="8" t="inlineStr">
        <is>
          <t>強化</t>
        </is>
      </c>
      <c r="D143" s="9" t="inlineStr">
        <is>
          <t>キーワード・カウンター</t>
        </is>
      </c>
      <c r="E143" s="10" t="inlineStr">
        <is>
          <t>Keyword counters</t>
        </is>
      </c>
      <c r="F143" s="7" t="inlineStr">
        <is>
          <t>122.1b</t>
        </is>
      </c>
      <c r="G143" s="8" t="inlineStr">
        <is>
          <t>名前と同じキーワード能力を与えるカウンター。飛行・接死・破壊不能・絆魂・トランプル・警戒など15種がある。</t>
        </is>
      </c>
      <c r="H143" s="8" t="inlineStr">
        <is>
          <t>イコリア：巨獣の棲処 (2020)</t>
        </is>
      </c>
      <c r="I143" s="8" t="inlineStr">
        <is>
          <t>能力をカウンターで付与する仕組み。デジタルではアイコンを付けるだけ。カウンターを移動・除去する効果と組むと能力の奪い合いが生まれる。能力ごとの単価表を作っておく。</t>
        </is>
      </c>
      <c r="J143" s="11" t="inlineStr">
        <is>
          <t>高</t>
        </is>
      </c>
      <c r="K143" s="8" t="inlineStr">
        <is>
          <t>キーワード能力</t>
        </is>
      </c>
      <c r="L143" s="12" t="inlineStr">
        <is>
          <t>◎</t>
        </is>
      </c>
      <c r="M143" s="13" t="inlineStr">
        <is>
          <t>【今回実装：キーワード付与】今回実装 効果『キーワード付与』grantKeyword：自分のモンスター1体にキーワードを与える</t>
        </is>
      </c>
    </row>
    <row r="144" ht="45.5" customHeight="1">
      <c r="A144" s="7" t="n">
        <v>143</v>
      </c>
      <c r="B144" s="8" t="inlineStr">
        <is>
          <t>カウンター</t>
        </is>
      </c>
      <c r="C144" s="8" t="inlineStr">
        <is>
          <t>防御</t>
        </is>
      </c>
      <c r="D144" s="9" t="inlineStr">
        <is>
          <t>盾カウンター</t>
        </is>
      </c>
      <c r="E144" s="10" t="inlineStr">
        <is>
          <t>Shield counter</t>
        </is>
      </c>
      <c r="F144" s="7" t="inlineStr">
        <is>
          <t>122.1c</t>
        </is>
      </c>
      <c r="G144" s="8" t="inlineStr">
        <is>
          <t>破壊されるときやダメージを受けるとき、代わりにこれを1個取り除いて防ぐカウンター。</t>
        </is>
      </c>
      <c r="H144" s="8" t="inlineStr">
        <is>
          <t>ニューカペナの街角 (2022)</t>
        </is>
      </c>
      <c r="I144" s="8" t="inlineStr">
        <is>
          <t>攻撃か除去を1回だけ無効にするバリア。StSのブロック値と違いターンをまたいで残る。1回の無効化が何ダメージ分に相当するかで評価し、高めのポイントにする。</t>
        </is>
      </c>
      <c r="J144" s="11" t="inlineStr">
        <is>
          <t>高</t>
        </is>
      </c>
      <c r="K144" s="8" t="inlineStr">
        <is>
          <t>ダメージ処理</t>
        </is>
      </c>
      <c r="L144" s="12" t="inlineStr">
        <is>
          <t>◎</t>
        </is>
      </c>
      <c r="M144" s="13" t="inlineStr">
        <is>
          <t>【今回実装：聖盾】今回実装 キーワード『聖盾』divineShield：最初に受けるダメージ1回を0にする</t>
        </is>
      </c>
    </row>
    <row r="145" ht="29" customHeight="1">
      <c r="A145" s="7" t="n">
        <v>144</v>
      </c>
      <c r="B145" s="8" t="inlineStr">
        <is>
          <t>カウンター</t>
        </is>
      </c>
      <c r="C145" s="8" t="inlineStr">
        <is>
          <t>妨害</t>
        </is>
      </c>
      <c r="D145" s="9" t="inlineStr">
        <is>
          <t>麻痺カウンター</t>
        </is>
      </c>
      <c r="E145" s="10" t="inlineStr">
        <is>
          <t>Stun counter</t>
        </is>
      </c>
      <c r="F145" s="7" t="inlineStr">
        <is>
          <t>122.1d</t>
        </is>
      </c>
      <c r="G145" s="8" t="inlineStr">
        <is>
          <t>パーマネントがアンタップする代わりに、このカウンターを1個取り除く。</t>
        </is>
      </c>
      <c r="H145" s="8" t="inlineStr">
        <is>
          <t>団結のドミナリア (2022)</t>
        </is>
      </c>
      <c r="I145" s="8" t="inlineStr">
        <is>
          <t>次の1回の行動権回復を飛ばす凍結デバフ。個数分だけ行動不能が続く。数値管理だけで済み、妨害系カードの基本素材になる。</t>
        </is>
      </c>
      <c r="J145" s="11" t="inlineStr">
        <is>
          <t>高</t>
        </is>
      </c>
      <c r="K145" s="8" t="inlineStr">
        <is>
          <t>使用済み状態</t>
        </is>
      </c>
      <c r="L145" s="12" t="inlineStr">
        <is>
          <t>×</t>
        </is>
      </c>
      <c r="M145" s="13" t="inlineStr">
        <is>
          <t>既存：凍結（次のターン攻撃できない）</t>
        </is>
      </c>
    </row>
    <row r="146" ht="37.5" customHeight="1">
      <c r="A146" s="7" t="n">
        <v>145</v>
      </c>
      <c r="B146" s="8" t="inlineStr">
        <is>
          <t>カウンター</t>
        </is>
      </c>
      <c r="C146" s="8" t="inlineStr">
        <is>
          <t>コスト・リソース</t>
        </is>
      </c>
      <c r="D146" s="9" t="inlineStr">
        <is>
          <t>忠誠カウンター</t>
        </is>
      </c>
      <c r="E146" s="10" t="inlineStr">
        <is>
          <t>Loyalty counter</t>
        </is>
      </c>
      <c r="F146" s="7" t="inlineStr">
        <is>
          <t>122.1e</t>
        </is>
      </c>
      <c r="G146" s="8" t="inlineStr">
        <is>
          <t>プレインズウォーカーの忠誠度を表すカウンター。能力の使用で増減し、0になると墓地に置かれる。</t>
        </is>
      </c>
      <c r="H146" s="8" t="inlineStr">
        <is>
          <t>ローウィン (2007)</t>
        </is>
      </c>
      <c r="I146" s="8" t="inlineStr">
        <is>
          <t>耐久値と能力の使用リソースを兼ねる数値。使えば減り、攻撃されても減るため、使いすぎと守りの判断が生まれる。サブ司令塔カードの基本ステータスにする。</t>
        </is>
      </c>
      <c r="J146" s="11" t="inlineStr">
        <is>
          <t>高</t>
        </is>
      </c>
      <c r="K146" s="8" t="inlineStr">
        <is>
          <t>サブ司令塔カード</t>
        </is>
      </c>
      <c r="L146" s="12" t="inlineStr">
        <is>
          <t>×</t>
        </is>
      </c>
      <c r="M146" s="13" t="inlineStr">
        <is>
          <t>プレインズウォーカー（サブ司令塔）前提。仕組みが重い</t>
        </is>
      </c>
    </row>
    <row r="147" ht="49.5" customHeight="1">
      <c r="A147" s="7" t="n">
        <v>146</v>
      </c>
      <c r="B147" s="8" t="inlineStr">
        <is>
          <t>カウンター</t>
        </is>
      </c>
      <c r="C147" s="8" t="inlineStr">
        <is>
          <t>勝利条件</t>
        </is>
      </c>
      <c r="D147" s="9" t="inlineStr">
        <is>
          <t>毒カウンター</t>
        </is>
      </c>
      <c r="E147" s="10" t="inlineStr">
        <is>
          <t>Poison counter</t>
        </is>
      </c>
      <c r="F147" s="7" t="inlineStr">
        <is>
          <t>122.1f</t>
        </is>
      </c>
      <c r="G147" s="8" t="inlineStr">
        <is>
          <t>プレイヤーが得るカウンター。10個以上になると敗北する。感染や毒性などの能力で与えられる。</t>
        </is>
      </c>
      <c r="H147" s="8" t="inlineStr">
        <is>
          <t>レジェンド (1994)</t>
        </is>
      </c>
      <c r="I147" s="10" t="inlineStr">
        <is>
          <t>HPとは別の敗北ゲージ。ダメージを毒として与える攻撃属性を作ると、ブロック値で守る相手への対策デッキになる。1個あたりはHPダメージの2倍程度の価値で設計する。</t>
        </is>
      </c>
      <c r="J147" s="11" t="inlineStr">
        <is>
          <t>高</t>
        </is>
      </c>
      <c r="K147" s="8" t="inlineStr">
        <is>
          <t>プレイヤー状態値</t>
        </is>
      </c>
      <c r="L147" s="12" t="inlineStr">
        <is>
          <t>×</t>
        </is>
      </c>
      <c r="M147" s="13" t="inlineStr">
        <is>
          <t>既存：毒。HPと別の敗北ゲージは毒と役割が重複</t>
        </is>
      </c>
    </row>
    <row r="148" ht="41.5" customHeight="1">
      <c r="A148" s="7" t="n">
        <v>147</v>
      </c>
      <c r="B148" s="8" t="inlineStr">
        <is>
          <t>カウンター</t>
        </is>
      </c>
      <c r="C148" s="8" t="inlineStr">
        <is>
          <t>防御</t>
        </is>
      </c>
      <c r="D148" s="9" t="inlineStr">
        <is>
          <t>守備カウンター</t>
        </is>
      </c>
      <c r="E148" s="10" t="inlineStr">
        <is>
          <t>Defense counter</t>
        </is>
      </c>
      <c r="F148" s="7" t="inlineStr">
        <is>
          <t>122.1g</t>
        </is>
      </c>
      <c r="G148" s="8" t="inlineStr">
        <is>
          <t>バトルの守備値を表すカウンター。ダメージを受けた分だけ取り除かれ、0になるとバトルが倒される。</t>
        </is>
      </c>
      <c r="H148" s="8" t="inlineStr">
        <is>
          <t>機械兵団の進軍 (2023)</t>
        </is>
      </c>
      <c r="I148" s="8" t="inlineStr">
        <is>
          <t>攻略目標の残り耐久値。HPと同じく数値1つで管理できる。耐久の回復を許すかどうかで攻略難度が大きく変わるので、回復効果はポイントを高く設定する。</t>
        </is>
      </c>
      <c r="J148" s="11" t="inlineStr">
        <is>
          <t>高</t>
        </is>
      </c>
      <c r="K148" s="8" t="inlineStr">
        <is>
          <t>攻略目標カード</t>
        </is>
      </c>
      <c r="L148" s="12" t="inlineStr">
        <is>
          <t>×</t>
        </is>
      </c>
      <c r="M148" s="13" t="inlineStr">
        <is>
          <t>バトル（攻略目標カード）前提</t>
        </is>
      </c>
    </row>
    <row r="149" ht="41.5" customHeight="1">
      <c r="A149" s="7" t="n">
        <v>148</v>
      </c>
      <c r="B149" s="8" t="inlineStr">
        <is>
          <t>カウンター</t>
        </is>
      </c>
      <c r="C149" s="8" t="inlineStr">
        <is>
          <t>妨害</t>
        </is>
      </c>
      <c r="D149" s="9" t="inlineStr">
        <is>
          <t>最終カウンター</t>
        </is>
      </c>
      <c r="E149" s="10" t="inlineStr">
        <is>
          <t>Finality counter</t>
        </is>
      </c>
      <c r="F149" s="7" t="inlineStr">
        <is>
          <t>122.1h</t>
        </is>
      </c>
      <c r="G149" s="8" t="inlineStr">
        <is>
          <t>これが置かれたパーマネントは、墓地に置かれる代わりに追放される。</t>
        </is>
      </c>
      <c r="H149" s="8" t="inlineStr">
        <is>
          <t>イクサラン：失われし洞窟 (2023)</t>
        </is>
      </c>
      <c r="I149" s="8" t="inlineStr">
        <is>
          <t>倒されたら廃棄される印。捨て札からの再利用を封じる対策手段になる。蘇生したユニットに付けて強い効果と引き換えに1回限りにする設計にも使える。</t>
        </is>
      </c>
      <c r="J149" s="11" t="inlineStr">
        <is>
          <t>高</t>
        </is>
      </c>
      <c r="K149" s="8" t="inlineStr">
        <is>
          <t>廃棄ゾーン</t>
        </is>
      </c>
      <c r="L149" s="12" t="inlineStr">
        <is>
          <t>△</t>
        </is>
      </c>
      <c r="M149" s="13" t="inlineStr">
        <is>
          <t>効果『消滅の印』：相手モンスターに付与、破壊時に捨て札でなく除外（蘇生・回収対策）。約5pt</t>
        </is>
      </c>
    </row>
    <row r="150" ht="45.5" customHeight="1">
      <c r="A150" s="7" t="n">
        <v>149</v>
      </c>
      <c r="B150" s="8" t="inlineStr">
        <is>
          <t>カウンター</t>
        </is>
      </c>
      <c r="C150" s="8" t="inlineStr">
        <is>
          <t>妨害</t>
        </is>
      </c>
      <c r="D150" s="14" t="inlineStr">
        <is>
          <t>RADカウンター</t>
        </is>
      </c>
      <c r="E150" s="10" t="inlineStr">
        <is>
          <t>Rad counter</t>
        </is>
      </c>
      <c r="F150" s="7" t="inlineStr">
        <is>
          <t>122.1i</t>
        </is>
      </c>
      <c r="G150" s="8" t="inlineStr">
        <is>
          <t>プレイヤーが得るカウンター。戦闘前メインの開始時にその数だけ切削し、土地でないカード1枚ごとにライフを1失い1個減る。</t>
        </is>
      </c>
      <c r="H150" s="10" t="inlineStr">
        <is>
          <t>Fallout (2024)</t>
        </is>
      </c>
      <c r="I150" s="8" t="inlineStr">
        <is>
          <t>毎ターン山札を削りHPも削る持続デバフ。デジタルなら自動処理なので複雑でも負担がない。被害は相手のデッキ構成に左右されるため、期待値で控えめにポイントを付ける。</t>
        </is>
      </c>
      <c r="J150" s="11" t="inlineStr">
        <is>
          <t>中</t>
        </is>
      </c>
      <c r="K150" s="8" t="inlineStr">
        <is>
          <t>山札・捨て札</t>
        </is>
      </c>
      <c r="L150" s="12" t="inlineStr">
        <is>
          <t>△</t>
        </is>
      </c>
      <c r="M150" s="13" t="inlineStr">
        <is>
          <t>状態『放射能N』：ターン開始時に山札上N枚を捨て札へ、モンスター以外1枚ごとに小ダメージ。期待値で控えめ</t>
        </is>
      </c>
    </row>
    <row r="151" ht="41.5" customHeight="1">
      <c r="A151" s="7" t="n">
        <v>150</v>
      </c>
      <c r="B151" s="8" t="inlineStr">
        <is>
          <t>カウンター</t>
        </is>
      </c>
      <c r="C151" s="8" t="inlineStr">
        <is>
          <t>成長・カウンター</t>
        </is>
      </c>
      <c r="D151" s="9" t="inlineStr">
        <is>
          <t>洗練カウンター</t>
        </is>
      </c>
      <c r="E151" s="10" t="inlineStr">
        <is>
          <t>Hone counter</t>
        </is>
      </c>
      <c r="F151" s="7" t="inlineStr">
        <is>
          <t>122.1j</t>
        </is>
      </c>
      <c r="G151" s="8" t="inlineStr">
        <is>
          <t>装備品に置かれるカウンター。1個につき、その装備品をつけているクリーチャーが+1/+0の修整を受ける。</t>
        </is>
      </c>
      <c r="H151" s="8" t="inlineStr">
        <is>
          <t>ホビット (2026)</t>
        </is>
      </c>
      <c r="I151" s="8" t="inlineStr">
        <is>
          <t>装備カード自体が成長する仕組み。付け替えても強化が残るので、ユニットより装備に投資する戦略が生まれる。攻撃値+1あたりのポイントを基準にする。</t>
        </is>
      </c>
      <c r="J151" s="11" t="inlineStr">
        <is>
          <t>高</t>
        </is>
      </c>
      <c r="K151" s="8" t="inlineStr">
        <is>
          <t>装備カード</t>
        </is>
      </c>
      <c r="L151" s="12" t="inlineStr">
        <is>
          <t>×</t>
        </is>
      </c>
      <c r="M151" s="13" t="inlineStr">
        <is>
          <t>装備カードの仕組みが無い</t>
        </is>
      </c>
    </row>
    <row r="152" ht="41.5" customHeight="1">
      <c r="A152" s="7" t="n">
        <v>151</v>
      </c>
      <c r="B152" s="8" t="inlineStr">
        <is>
          <t>カウンター</t>
        </is>
      </c>
      <c r="C152" s="8" t="inlineStr">
        <is>
          <t>コスト・リソース</t>
        </is>
      </c>
      <c r="D152" s="9" t="inlineStr">
        <is>
          <t>エネルギー・カウンター</t>
        </is>
      </c>
      <c r="E152" s="10" t="inlineStr">
        <is>
          <t>Energy counter</t>
        </is>
      </c>
      <c r="F152" s="7" t="inlineStr">
        <is>
          <t>107.14</t>
        </is>
      </c>
      <c r="G152" s="8" t="inlineStr">
        <is>
          <t>プレイヤーが得るカウンター。{E}で表され、ターンをまたいで貯めておき、コストとして支払える資源。</t>
        </is>
      </c>
      <c r="H152" s="8" t="inlineStr">
        <is>
          <t>カラデシュ (2016)</t>
        </is>
      </c>
      <c r="I152" s="8" t="inlineStr">
        <is>
          <t>毎ターン回復するエネルギーとは別に、ターンを越えて貯まる第2の資源として導入できる。獲得と消費を別カードに分けると蓄積型デッキが成立する。</t>
        </is>
      </c>
      <c r="J152" s="11" t="inlineStr">
        <is>
          <t>高</t>
        </is>
      </c>
      <c r="K152" s="8" t="inlineStr">
        <is>
          <t>プレイヤー状態値</t>
        </is>
      </c>
      <c r="L152" s="12" t="inlineStr">
        <is>
          <t>×</t>
        </is>
      </c>
      <c r="M152" s="13" t="inlineStr">
        <is>
          <t>既存：貯金（次ターンのエナジー）。第2資源は重い</t>
        </is>
      </c>
    </row>
    <row r="153" ht="37.5" customHeight="1">
      <c r="A153" s="7" t="n">
        <v>152</v>
      </c>
      <c r="B153" s="8" t="inlineStr">
        <is>
          <t>カウンター</t>
        </is>
      </c>
      <c r="C153" s="8" t="inlineStr">
        <is>
          <t>成長・カウンター</t>
        </is>
      </c>
      <c r="D153" s="9" t="inlineStr">
        <is>
          <t>経験カウンター</t>
        </is>
      </c>
      <c r="E153" s="10" t="inlineStr">
        <is>
          <t>Experience counter</t>
        </is>
      </c>
      <c r="F153" s="7" t="inlineStr">
        <is>
          <t>122.1</t>
        </is>
      </c>
      <c r="G153" s="8" t="inlineStr">
        <is>
          <t>プレイヤーが得るカウンター。経験カウンターの数を参照して効果が大きくなるカードと組む。</t>
        </is>
      </c>
      <c r="H153" s="8" t="inlineStr">
        <is>
          <t>統率者2015 (2015)</t>
        </is>
      </c>
      <c r="I153" s="8" t="inlineStr">
        <is>
          <t>試合中の条件達成で増える成長値。数に応じてリーダーの能力が強くなる設計にすれば、長期戦の報酬になる。数を参照する効果のポイント係数を決めておく。</t>
        </is>
      </c>
      <c r="J153" s="11" t="inlineStr">
        <is>
          <t>高</t>
        </is>
      </c>
      <c r="K153" s="8" t="inlineStr">
        <is>
          <t>プレイヤー状態値</t>
        </is>
      </c>
      <c r="L153" s="12" t="inlineStr">
        <is>
          <t>△</t>
        </is>
      </c>
      <c r="M153" s="13" t="inlineStr">
        <is>
          <t>プレイヤーの『経験』値を積み、数を参照する効果。参照効果の設計が要るので後回し</t>
        </is>
      </c>
    </row>
    <row r="154" ht="45.5" customHeight="1">
      <c r="A154" s="7" t="n">
        <v>153</v>
      </c>
      <c r="B154" s="8" t="inlineStr">
        <is>
          <t>カウンター</t>
        </is>
      </c>
      <c r="C154" s="8" t="inlineStr">
        <is>
          <t>その他</t>
        </is>
      </c>
      <c r="D154" s="9" t="inlineStr">
        <is>
          <t>時間カウンター</t>
        </is>
      </c>
      <c r="E154" s="10" t="inlineStr">
        <is>
          <t>Time counter</t>
        </is>
      </c>
      <c r="F154" s="7" t="inlineStr">
        <is>
          <t>122.1</t>
        </is>
      </c>
      <c r="G154" s="8" t="inlineStr">
        <is>
          <t>待機や消失などで使う、時間の経過を表すカウンター。毎ターン取り除かれ、なくなると効果が起きる。</t>
        </is>
      </c>
      <c r="H154" s="8" t="inlineStr">
        <is>
          <t>フォールン・エンパイア (1994)</t>
        </is>
      </c>
      <c r="I154" s="8" t="inlineStr">
        <is>
          <t>「Nターン後に発動」「Nターン後に消える」のカウントダウン。表示が分かりやすく実装も数値1つ。遅延ターン数に応じた割引率の換算表を作る。</t>
        </is>
      </c>
      <c r="J154" s="11" t="inlineStr">
        <is>
          <t>高</t>
        </is>
      </c>
      <c r="K154" s="8" t="inlineStr">
        <is>
          <t>ターン進行カウント</t>
        </is>
      </c>
      <c r="L154" s="12" t="inlineStr">
        <is>
          <t>◎</t>
        </is>
      </c>
      <c r="M154" s="13" t="inlineStr">
        <is>
          <t>【今回実装：修飾『次のターンに（遅延）』＋遅延キュー（`nextTurn`・バッチA）】（審査時は○）修飾『遅延』：効果をNターン後の自分のターン開始時に発動。倍率0.7程度。遅延キューが要る</t>
        </is>
      </c>
    </row>
    <row r="155" ht="37.5" customHeight="1">
      <c r="A155" s="7" t="n">
        <v>154</v>
      </c>
      <c r="B155" s="8" t="inlineStr">
        <is>
          <t>カウンター</t>
        </is>
      </c>
      <c r="C155" s="8" t="inlineStr">
        <is>
          <t>成長・カウンター</t>
        </is>
      </c>
      <c r="D155" s="9" t="inlineStr">
        <is>
          <t>蓄積カウンター</t>
        </is>
      </c>
      <c r="E155" s="10" t="inlineStr">
        <is>
          <t>Charge counter</t>
        </is>
      </c>
      <c r="F155" s="7" t="inlineStr">
        <is>
          <t>122.1</t>
        </is>
      </c>
      <c r="G155" s="8" t="inlineStr">
        <is>
          <t>アーティファクトなどに溜め、数を参照したり、取り除いて能力のコストにしたりする汎用のカウンター。</t>
        </is>
      </c>
      <c r="H155" s="8" t="inlineStr">
        <is>
          <t>レジェンド (1994)</t>
        </is>
      </c>
      <c r="I155" s="8" t="inlineStr">
        <is>
          <t>装置に溜まるチャージ。条件を満たすたびに溜まり、消費して大技を撃つ。使用回数の制限にも使えるので、起動型能力の暴走防止策としても有効。</t>
        </is>
      </c>
      <c r="J155" s="11" t="inlineStr">
        <is>
          <t>高</t>
        </is>
      </c>
      <c r="K155" s="8" t="inlineStr">
        <is>
          <t>永続カード枠</t>
        </is>
      </c>
      <c r="L155" s="12" t="inlineStr">
        <is>
          <t>◎</t>
        </is>
      </c>
      <c r="M155" s="13" t="inlineStr">
        <is>
          <t>【今回実装：蓄積カウンター（能力『蓄積』＋タイミング『蓄積がたまったとき』）（`charge`・バッチC2）】（審査時は○）パワーの『蓄積』：条件ごとに+1、N個で大技。パワーにカウンター枠が要る</t>
        </is>
      </c>
    </row>
    <row r="156" ht="37.5" customHeight="1">
      <c r="A156" s="7" t="n">
        <v>155</v>
      </c>
      <c r="B156" s="8" t="inlineStr">
        <is>
          <t>カウンター</t>
        </is>
      </c>
      <c r="C156" s="8" t="inlineStr">
        <is>
          <t>妨害</t>
        </is>
      </c>
      <c r="D156" s="9" t="inlineStr">
        <is>
          <t>氷カウンター</t>
        </is>
      </c>
      <c r="E156" s="10" t="inlineStr">
        <is>
          <t>Ice counter</t>
        </is>
      </c>
      <c r="F156" s="7" t="inlineStr">
        <is>
          <t>122.1</t>
        </is>
      </c>
      <c r="G156" s="8" t="inlineStr">
        <is>
          <t>凍った状態を表すカウンター。働きを止めたり、取り除く（溶ける）ことで恩恵を得たりする。</t>
        </is>
      </c>
      <c r="H156" s="8" t="inlineStr">
        <is>
          <t>アイスエイジ (1995)</t>
        </is>
      </c>
      <c r="I156" s="8" t="inlineStr">
        <is>
          <t>カードを凍らせ、カウンターが全て溶けるまで使えなくするデバフ。逆に自分のカードを凍らせておき、溶けたときに大きな効果を得る遅延型カードにも使える。</t>
        </is>
      </c>
      <c r="J156" s="11" t="inlineStr">
        <is>
          <t>高</t>
        </is>
      </c>
      <c r="K156" s="8" t="inlineStr">
        <is>
          <t>状態異常枠</t>
        </is>
      </c>
      <c r="L156" s="12" t="inlineStr">
        <is>
          <t>△</t>
        </is>
      </c>
      <c r="M156" s="13" t="inlineStr">
        <is>
          <t>効果『氷結』：相手の次の手札1枚を使えなくする等に変形。既存の凍結と差別化が要る</t>
        </is>
      </c>
    </row>
    <row r="157" ht="37.5" customHeight="1">
      <c r="A157" s="7" t="n">
        <v>156</v>
      </c>
      <c r="B157" s="8" t="inlineStr">
        <is>
          <t>カウンター</t>
        </is>
      </c>
      <c r="C157" s="8" t="inlineStr">
        <is>
          <t>除去</t>
        </is>
      </c>
      <c r="D157" s="9" t="inlineStr">
        <is>
          <t>運命カウンター</t>
        </is>
      </c>
      <c r="E157" s="10" t="inlineStr">
        <is>
          <t>Fate counter</t>
        </is>
      </c>
      <c r="F157" s="7" t="inlineStr">
        <is>
          <t>122.1</t>
        </is>
      </c>
      <c r="G157" s="8" t="inlineStr">
        <is>
          <t>忘却石などで使うカウンター。印を付けたパーマネント以外を一掃するなど、選別の目印になる。</t>
        </is>
      </c>
      <c r="H157" s="8" t="inlineStr">
        <is>
          <t>フィフス・ドーン (2004)</t>
        </is>
      </c>
      <c r="I157" s="8" t="inlineStr">
        <is>
          <t>「印の付いたもの以外を一掃」「印の付いたものを後で除去」などの選別マーカー。全体除去に例外を作れるので、全体効果の調整弁として便利。</t>
        </is>
      </c>
      <c r="J157" s="11" t="inlineStr">
        <is>
          <t>高</t>
        </is>
      </c>
      <c r="K157" s="8" t="inlineStr">
        <is>
          <t>マーカー管理</t>
        </is>
      </c>
      <c r="L157" s="12" t="inlineStr">
        <is>
          <t>×</t>
        </is>
      </c>
      <c r="M157" s="13" t="inlineStr">
        <is>
          <t>全体破壊の例外マーカー。1対1・全体破壊が少なく価値が薄い</t>
        </is>
      </c>
    </row>
    <row r="158" ht="37.5" customHeight="1">
      <c r="A158" s="7" t="n">
        <v>157</v>
      </c>
      <c r="B158" s="8" t="inlineStr">
        <is>
          <t>カウンター</t>
        </is>
      </c>
      <c r="C158" s="8" t="inlineStr">
        <is>
          <t>反復・再利用</t>
        </is>
      </c>
      <c r="D158" s="9" t="inlineStr">
        <is>
          <t>伝承カウンター</t>
        </is>
      </c>
      <c r="E158" s="10" t="inlineStr">
        <is>
          <t>Lore counter</t>
        </is>
      </c>
      <c r="F158" s="7" t="inlineStr">
        <is>
          <t>714</t>
        </is>
      </c>
      <c r="G158" s="8" t="inlineStr">
        <is>
          <t>英雄譚の章の進み具合を示すカウンター。毎ターン1個置かれ、数に対応する章の能力が誘発する。</t>
        </is>
      </c>
      <c r="H158" s="8" t="inlineStr">
        <is>
          <t>基本セット2012 (2011)</t>
        </is>
      </c>
      <c r="I158" s="8" t="inlineStr">
        <is>
          <t>段階進行カードの進捗値。追加で置いて章を飛ばす、取り除いて章を繰り返すといった効果で、進行速度を操作するコンボが作れる。</t>
        </is>
      </c>
      <c r="J158" s="11" t="inlineStr">
        <is>
          <t>高</t>
        </is>
      </c>
      <c r="K158" s="8" t="inlineStr">
        <is>
          <t>ターン進行カウント</t>
        </is>
      </c>
      <c r="L158" s="12" t="inlineStr">
        <is>
          <t>△</t>
        </is>
      </c>
      <c r="M158" s="13" t="inlineStr">
        <is>
          <t>英雄譚＝章ごとに効果が出るパワー。ターン数で効果が変わるパワーとして後で検討</t>
        </is>
      </c>
    </row>
    <row r="159" ht="41.5" customHeight="1">
      <c r="A159" s="7" t="n">
        <v>158</v>
      </c>
      <c r="B159" s="8" t="inlineStr">
        <is>
          <t>カウンター</t>
        </is>
      </c>
      <c r="C159" s="8" t="inlineStr">
        <is>
          <t>条件ボーナス</t>
        </is>
      </c>
      <c r="D159" s="9" t="inlineStr">
        <is>
          <t>探索カウンター</t>
        </is>
      </c>
      <c r="E159" s="10" t="inlineStr">
        <is>
          <t>Quest counter</t>
        </is>
      </c>
      <c r="F159" s="7" t="inlineStr">
        <is>
          <t>122.1</t>
        </is>
      </c>
      <c r="G159" s="8" t="inlineStr">
        <is>
          <t>条件を満たすたびに置かれ、一定数に達すると効果が使えるようになる達成度のカウンター。</t>
        </is>
      </c>
      <c r="H159" s="8" t="inlineStr">
        <is>
          <t>ゼンディカー (2009)</t>
        </is>
      </c>
      <c r="I159" s="8" t="inlineStr">
        <is>
          <t>ミッションの進捗度。攻撃するたび1個、3個で報酬といった形。達成条件と必要数で割り引くと、序盤に置いて後半に化けるカードになる。</t>
        </is>
      </c>
      <c r="J159" s="11" t="inlineStr">
        <is>
          <t>高</t>
        </is>
      </c>
      <c r="K159" s="8" t="inlineStr">
        <is>
          <t>条件判定</t>
        </is>
      </c>
      <c r="L159" s="12" t="inlineStr">
        <is>
          <t>◎</t>
        </is>
      </c>
      <c r="M159" s="13" t="inlineStr">
        <is>
          <t>【今回実装：条件『このモンスターが3回以上攻撃した』（`veteran`・バッチA）】（審査時は○）条件『このモンスターが3回以上攻撃した』（探索）。モンスターごとの回数記録が要る。倍率0.6</t>
        </is>
      </c>
    </row>
    <row r="160" ht="37.5" customHeight="1">
      <c r="A160" s="7" t="n">
        <v>159</v>
      </c>
      <c r="B160" s="8" t="inlineStr">
        <is>
          <t>カウンター</t>
        </is>
      </c>
      <c r="C160" s="8" t="inlineStr">
        <is>
          <t>成長・カウンター</t>
        </is>
      </c>
      <c r="D160" s="14" t="inlineStr">
        <is>
          <t>Lvカウンター</t>
        </is>
      </c>
      <c r="E160" s="10" t="inlineStr">
        <is>
          <t>Level counter</t>
        </is>
      </c>
      <c r="F160" s="7" t="inlineStr">
        <is>
          <t>711</t>
        </is>
      </c>
      <c r="G160" s="10" t="inlineStr">
        <is>
          <t>Lvアップ能力で置かれ、数に応じてLvアップ・クリーチャーの能力とP/Tが段階的に強くなる。</t>
        </is>
      </c>
      <c r="H160" s="8" t="inlineStr">
        <is>
          <t>エルドラージ覚醒 (2010)</t>
        </is>
      </c>
      <c r="I160" s="8" t="inlineStr">
        <is>
          <t>エネルギーを払ってユニットのレベルを上げる成長システム。レベル帯ごとにステータスを決め、レベル上げコストの累計と伸びを比べてポイントを付ける。</t>
        </is>
      </c>
      <c r="J160" s="11" t="inlineStr">
        <is>
          <t>高</t>
        </is>
      </c>
      <c r="K160" s="8" t="inlineStr">
        <is>
          <t>ユニット</t>
        </is>
      </c>
      <c r="L160" s="12" t="inlineStr">
        <is>
          <t>△</t>
        </is>
      </c>
      <c r="M160" s="13" t="inlineStr">
        <is>
          <t>Lvアップ：エナジーを払って段階強化。起動型能力が前提で重い</t>
        </is>
      </c>
    </row>
    <row r="161" ht="37.5" customHeight="1">
      <c r="A161" s="7" t="n">
        <v>160</v>
      </c>
      <c r="B161" s="8" t="inlineStr">
        <is>
          <t>カウンター</t>
        </is>
      </c>
      <c r="C161" s="8" t="inlineStr">
        <is>
          <t>成長・カウンター</t>
        </is>
      </c>
      <c r="D161" s="9" t="inlineStr">
        <is>
          <t>油カウンター</t>
        </is>
      </c>
      <c r="E161" s="10" t="inlineStr">
        <is>
          <t>Oil counter</t>
        </is>
      </c>
      <c r="F161" s="7" t="inlineStr">
        <is>
          <t>122.1</t>
        </is>
      </c>
      <c r="G161" s="8" t="inlineStr">
        <is>
          <t>ファイレクシアの油を表すカウンター。効果の大きさを決めたり、取り除いて能力の回数を制限したりする。</t>
        </is>
      </c>
      <c r="H161" s="8" t="inlineStr">
        <is>
          <t>ファイレクシア：完全なる統一 (2023)</t>
        </is>
      </c>
      <c r="I161" s="8" t="inlineStr">
        <is>
          <t>蓄積カウンターと同様の汎用チャージで、他のカードへ移す効果と組む点が特徴。カウンターの移動を得意とする属性を作ると、蓄積型より柔軟な資源管理ができる。</t>
        </is>
      </c>
      <c r="J161" s="11" t="inlineStr">
        <is>
          <t>高</t>
        </is>
      </c>
      <c r="K161" s="8" t="inlineStr">
        <is>
          <t>永続カード枠</t>
        </is>
      </c>
      <c r="L161" s="12" t="inlineStr">
        <is>
          <t>×</t>
        </is>
      </c>
      <c r="M161" s="13" t="inlineStr">
        <is>
          <t>既存/他案と重複：蓄積カウンターと同等</t>
        </is>
      </c>
    </row>
    <row r="162" ht="25" customHeight="1">
      <c r="A162" s="7" t="n">
        <v>161</v>
      </c>
      <c r="B162" s="8" t="inlineStr">
        <is>
          <t>カウンター</t>
        </is>
      </c>
      <c r="C162" s="8" t="inlineStr">
        <is>
          <t>コスト・リソース</t>
        </is>
      </c>
      <c r="D162" s="9" t="inlineStr">
        <is>
          <t>貯蔵カウンター</t>
        </is>
      </c>
      <c r="E162" s="10" t="inlineStr">
        <is>
          <t>Storage counter</t>
        </is>
      </c>
      <c r="F162" s="7" t="inlineStr">
        <is>
          <t>122.1</t>
        </is>
      </c>
      <c r="G162" s="8" t="inlineStr">
        <is>
          <t>土地にマナを貯めるためのカウンター。後で取り除いた数だけマナを生み出す。</t>
        </is>
      </c>
      <c r="H162" s="8" t="inlineStr">
        <is>
          <t>ザ・ダーク (1994)</t>
        </is>
      </c>
      <c r="I162" s="8" t="inlineStr">
        <is>
          <t>使わなかったエネルギーを装置に貯金して後で引き出す仕組み。大技の準備手段になる。貯金の上限を設けて暴走を防ぐ。</t>
        </is>
      </c>
      <c r="J162" s="11" t="inlineStr">
        <is>
          <t>高</t>
        </is>
      </c>
      <c r="K162" s="8" t="inlineStr">
        <is>
          <t>マナ/エネルギー</t>
        </is>
      </c>
      <c r="L162" s="12" t="inlineStr">
        <is>
          <t>×</t>
        </is>
      </c>
      <c r="M162" s="13" t="inlineStr">
        <is>
          <t>既存：貯金</t>
        </is>
      </c>
    </row>
    <row r="163" ht="37.5" customHeight="1">
      <c r="A163" s="7" t="n">
        <v>162</v>
      </c>
      <c r="B163" s="8" t="inlineStr">
        <is>
          <t>カウンター</t>
        </is>
      </c>
      <c r="C163" s="8" t="inlineStr">
        <is>
          <t>条件ボーナス</t>
        </is>
      </c>
      <c r="D163" s="9" t="inlineStr">
        <is>
          <t>賞金カウンター</t>
        </is>
      </c>
      <c r="E163" s="10" t="inlineStr">
        <is>
          <t>Bounty counter</t>
        </is>
      </c>
      <c r="F163" s="7" t="inlineStr">
        <is>
          <t>122.1</t>
        </is>
      </c>
      <c r="G163" s="8" t="inlineStr">
        <is>
          <t>対象のパーマネントに置く目印。それを破壊したり、死亡したりしたときに報酬を得るために使う。</t>
        </is>
      </c>
      <c r="H163" s="8" t="inlineStr">
        <is>
          <t>テンペスト (1997)</t>
        </is>
      </c>
      <c r="I163" s="8" t="inlineStr">
        <is>
          <t>相手ユニットに懸賞金を掛け、倒したら報酬を得る。相手に懸賞付きのユニットを守るか捨てるかの判断を迫れる。報酬量と倒しやすさでポイントを決める。</t>
        </is>
      </c>
      <c r="J163" s="11" t="inlineStr">
        <is>
          <t>高</t>
        </is>
      </c>
      <c r="K163" s="8" t="inlineStr">
        <is>
          <t>マーカー管理</t>
        </is>
      </c>
      <c r="L163" s="12" t="inlineStr">
        <is>
          <t>◎</t>
        </is>
      </c>
      <c r="M163" s="13" t="inlineStr">
        <is>
          <t>【今回実装：効果『懸賞』（`bounty`・バッチB）】（審査時は○）効果『懸賞』：相手モンスター1体に印、それが倒れたら自分がN枚引く。印の管理が要る。約8pt</t>
        </is>
      </c>
    </row>
    <row r="164" ht="37.5" customHeight="1">
      <c r="A164" s="7" t="n">
        <v>163</v>
      </c>
      <c r="B164" s="8" t="inlineStr">
        <is>
          <t>カウンター</t>
        </is>
      </c>
      <c r="C164" s="8" t="inlineStr">
        <is>
          <t>展開・トークン</t>
        </is>
      </c>
      <c r="D164" s="9" t="inlineStr">
        <is>
          <t>胞子カウンター</t>
        </is>
      </c>
      <c r="E164" s="10" t="inlineStr">
        <is>
          <t>Spore counter</t>
        </is>
      </c>
      <c r="F164" s="7" t="inlineStr">
        <is>
          <t>122.1</t>
        </is>
      </c>
      <c r="G164" s="8" t="inlineStr">
        <is>
          <t>毎ターン置かれ、一定数を取り除くとトークンを生成するカウンター。サリッドなど菌類が使う。</t>
        </is>
      </c>
      <c r="H164" s="8" t="inlineStr">
        <is>
          <t>フォールン・エンパイア (1994)</t>
        </is>
      </c>
      <c r="I164" s="8" t="inlineStr">
        <is>
          <t>一定ターンごとに一時ユニットを生む工場型。数値を溜めて取り除くと生成するだけなので実装が楽。生成までのターン数と生成物の価値でポイントを付ける。</t>
        </is>
      </c>
      <c r="J164" s="11" t="inlineStr">
        <is>
          <t>高</t>
        </is>
      </c>
      <c r="K164" s="8" t="inlineStr">
        <is>
          <t>トークン</t>
        </is>
      </c>
      <c r="L164" s="12" t="inlineStr">
        <is>
          <t>◎</t>
        </is>
      </c>
      <c r="M164" s="13" t="inlineStr">
        <is>
          <t>【今回実装：トークン生成】今回の要素で作れる：自分のターン開始時＋トークン生成（工場型）</t>
        </is>
      </c>
    </row>
    <row r="165" ht="37.5" customHeight="1">
      <c r="A165" s="7" t="n">
        <v>164</v>
      </c>
      <c r="B165" s="8" t="inlineStr">
        <is>
          <t>カウンター</t>
        </is>
      </c>
      <c r="C165" s="8" t="inlineStr">
        <is>
          <t>コスト・リソース</t>
        </is>
      </c>
      <c r="D165" s="9" t="inlineStr">
        <is>
          <t>チケット・カウンター</t>
        </is>
      </c>
      <c r="E165" s="10" t="inlineStr">
        <is>
          <t>Ticket counter</t>
        </is>
      </c>
      <c r="F165" s="7" t="inlineStr">
        <is>
          <t>123</t>
        </is>
      </c>
      <c r="G165" s="10" t="inlineStr">
        <is>
          <t>Unfinityでプレイヤーが得るカウンター。チケットを支払ってステッカーをカードに貼る。</t>
        </is>
      </c>
      <c r="H165" s="10" t="inlineStr">
        <is>
          <t>Unfinity (2022)</t>
        </is>
      </c>
      <c r="I165" s="8" t="inlineStr">
        <is>
          <t>試合中に稼ぐカスタマイズ用の通貨。チケットでカードに強化パーツを貼れるようにすれば、ポイント制のカスタム感を試合中にも味わえる。</t>
        </is>
      </c>
      <c r="J165" s="11" t="inlineStr">
        <is>
          <t>中</t>
        </is>
      </c>
      <c r="K165" s="8" t="inlineStr">
        <is>
          <t>カード書き換え</t>
        </is>
      </c>
      <c r="L165" s="12" t="inlineStr">
        <is>
          <t>×</t>
        </is>
      </c>
      <c r="M165" s="13" t="inlineStr">
        <is>
          <t>カード書き換え・Unfinity専用。重い</t>
        </is>
      </c>
    </row>
    <row r="166" ht="45.5" customHeight="1">
      <c r="A166" s="7" t="n">
        <v>165</v>
      </c>
      <c r="B166" s="8" t="inlineStr">
        <is>
          <t>トークン</t>
        </is>
      </c>
      <c r="C166" s="8" t="inlineStr">
        <is>
          <t>コスト・リソース</t>
        </is>
      </c>
      <c r="D166" s="9" t="inlineStr">
        <is>
          <t>宝物</t>
        </is>
      </c>
      <c r="E166" s="10" t="inlineStr">
        <is>
          <t>Treasure</t>
        </is>
      </c>
      <c r="F166" s="7" t="inlineStr">
        <is>
          <t>111.10a</t>
        </is>
      </c>
      <c r="G166" s="8" t="inlineStr">
        <is>
          <t>タップして生け贄に捧げると好きな色のマナを1点生むアーティファクト・トークン。</t>
        </is>
      </c>
      <c r="H166" s="8" t="inlineStr">
        <is>
          <t>イクサラン (2017)</t>
        </is>
      </c>
      <c r="I166" s="8" t="inlineStr">
        <is>
          <t>使い捨てのエネルギー+1。好きな属性で払えるため多色の補助にもなる。後のターンに持ち越せるエネルギーとして扱い、1個の価値をトークン評価の基準単位にする。</t>
        </is>
      </c>
      <c r="J166" s="11" t="inlineStr">
        <is>
          <t>高</t>
        </is>
      </c>
      <c r="K166" s="8" t="inlineStr">
        <is>
          <t>マナ/エネルギー</t>
        </is>
      </c>
      <c r="L166" s="12" t="inlineStr">
        <is>
          <t>×</t>
        </is>
      </c>
      <c r="M166" s="13" t="inlineStr">
        <is>
          <t>既存：貯金・エナジー。色マナ前提</t>
        </is>
      </c>
    </row>
    <row r="167" ht="41.5" customHeight="1">
      <c r="A167" s="7" t="n">
        <v>166</v>
      </c>
      <c r="B167" s="8" t="inlineStr">
        <is>
          <t>トークン</t>
        </is>
      </c>
      <c r="C167" s="8" t="inlineStr">
        <is>
          <t>防御</t>
        </is>
      </c>
      <c r="D167" s="9" t="inlineStr">
        <is>
          <t>食物</t>
        </is>
      </c>
      <c r="E167" s="10" t="inlineStr">
        <is>
          <t>Food</t>
        </is>
      </c>
      <c r="F167" s="7" t="inlineStr">
        <is>
          <t>111.10b</t>
        </is>
      </c>
      <c r="G167" s="10" t="inlineStr">
        <is>
          <t>{2}を払いタップして生け贄に捧げると3点のライフを得るアーティファクト・トークン。</t>
        </is>
      </c>
      <c r="H167" s="8" t="inlineStr">
        <is>
          <t>エルドレインの王権 (2019)</t>
        </is>
      </c>
      <c r="I167" s="8" t="inlineStr">
        <is>
          <t>エネルギーを払って使う回復アイテム。生け贄を参照するカードの燃料にもなる。回復量÷消費エネルギーでポイントを決めると他の回復カードと比べやすい。</t>
        </is>
      </c>
      <c r="J167" s="11" t="inlineStr">
        <is>
          <t>高</t>
        </is>
      </c>
      <c r="K167" s="10" t="inlineStr">
        <is>
          <t>HP・エネルギー</t>
        </is>
      </c>
      <c r="L167" s="12" t="inlineStr">
        <is>
          <t>×</t>
        </is>
      </c>
      <c r="M167" s="13" t="inlineStr">
        <is>
          <t>既存：回復。起動型トークンの仕組みが無い</t>
        </is>
      </c>
    </row>
    <row r="168" ht="37.5" customHeight="1">
      <c r="A168" s="7" t="n">
        <v>167</v>
      </c>
      <c r="B168" s="8" t="inlineStr">
        <is>
          <t>トークン</t>
        </is>
      </c>
      <c r="C168" s="8" t="inlineStr">
        <is>
          <t>コスト・リソース</t>
        </is>
      </c>
      <c r="D168" s="9" t="inlineStr">
        <is>
          <t>金</t>
        </is>
      </c>
      <c r="E168" s="10" t="inlineStr">
        <is>
          <t>Gold</t>
        </is>
      </c>
      <c r="F168" s="7" t="inlineStr">
        <is>
          <t>111.10c</t>
        </is>
      </c>
      <c r="G168" s="8" t="inlineStr">
        <is>
          <t>生け贄に捧げると好きな色のマナを1点生むアーティファクト・トークン。宝物と違いタップは不要。</t>
        </is>
      </c>
      <c r="H168" s="8" t="inlineStr">
        <is>
          <t>神々の軍勢 (2014)</t>
        </is>
      </c>
      <c r="I168" s="8" t="inlineStr">
        <is>
          <t>宝物とほぼ同じ効果だが別名にすることで参照するカードを分けられる例。同効果・別名のトークンを用意すると、テーマごとのシナジーが混線しない。</t>
        </is>
      </c>
      <c r="J168" s="11" t="inlineStr">
        <is>
          <t>高</t>
        </is>
      </c>
      <c r="K168" s="8" t="inlineStr">
        <is>
          <t>マナ/エネルギー</t>
        </is>
      </c>
      <c r="L168" s="12" t="inlineStr">
        <is>
          <t>×</t>
        </is>
      </c>
      <c r="M168" s="13" t="inlineStr">
        <is>
          <t>既存：貯金・エナジー（宝物と同じ）</t>
        </is>
      </c>
    </row>
    <row r="169" ht="41.5" customHeight="1">
      <c r="A169" s="7" t="n">
        <v>168</v>
      </c>
      <c r="B169" s="8" t="inlineStr">
        <is>
          <t>トークン</t>
        </is>
      </c>
      <c r="C169" s="8" t="inlineStr">
        <is>
          <t>展開・トークン</t>
        </is>
      </c>
      <c r="D169" s="9" t="inlineStr">
        <is>
          <t>ウォーカー</t>
        </is>
      </c>
      <c r="E169" s="10" t="inlineStr">
        <is>
          <t>Walker</t>
        </is>
      </c>
      <c r="F169" s="7" t="inlineStr">
        <is>
          <t>111.10d</t>
        </is>
      </c>
      <c r="G169" s="8" t="inlineStr">
        <is>
          <t>黒の2/2のゾンビ・クリーチャー・トークン。ウォーキング・デッドとのコラボで定義された。</t>
        </is>
      </c>
      <c r="H169" s="10" t="inlineStr">
        <is>
          <t>Secret Lair (2020)</t>
        </is>
      </c>
      <c r="I169" s="8" t="inlineStr">
        <is>
          <t>コラボ用の定義済みユニット。定型ユニットに名前を付けて定義しておけば、カード文が「ウォーカーを1体生成」と短くなり、テキスト量のポイント換算も楽になる。</t>
        </is>
      </c>
      <c r="J169" s="11" t="inlineStr">
        <is>
          <t>高</t>
        </is>
      </c>
      <c r="K169" s="8" t="inlineStr">
        <is>
          <t>ユニット</t>
        </is>
      </c>
      <c r="L169" s="12" t="inlineStr">
        <is>
          <t>◎</t>
        </is>
      </c>
      <c r="M169" s="13" t="inlineStr">
        <is>
          <t>【今回実装：トークン生成】今回実装 効果『トークン生成』token に統合（#604）</t>
        </is>
      </c>
    </row>
    <row r="170" ht="41.5" customHeight="1">
      <c r="A170" s="7" t="n">
        <v>169</v>
      </c>
      <c r="B170" s="8" t="inlineStr">
        <is>
          <t>トークン</t>
        </is>
      </c>
      <c r="C170" s="8" t="inlineStr">
        <is>
          <t>ドロー・手札</t>
        </is>
      </c>
      <c r="D170" s="9" t="inlineStr">
        <is>
          <t>破片</t>
        </is>
      </c>
      <c r="E170" s="10" t="inlineStr">
        <is>
          <t>Shard</t>
        </is>
      </c>
      <c r="F170" s="7" t="inlineStr">
        <is>
          <t>111.10e</t>
        </is>
      </c>
      <c r="G170" s="10" t="inlineStr">
        <is>
          <t>{2}を払って生け贄に捧げると、占術1を行ってからカードを1枚引くエンチャント・トークン。</t>
        </is>
      </c>
      <c r="H170" s="8" t="inlineStr">
        <is>
          <t>カルドハイム (2021)</t>
        </is>
      </c>
      <c r="I170" s="8" t="inlineStr">
        <is>
          <t>山札の上を1枚見てから引ける軽いドロー資源。後払いのドローとして手札事故対策になる。占術とドローを分けてポイント化し合計する。</t>
        </is>
      </c>
      <c r="J170" s="11" t="inlineStr">
        <is>
          <t>高</t>
        </is>
      </c>
      <c r="K170" s="8" t="inlineStr">
        <is>
          <t>山札操作</t>
        </is>
      </c>
      <c r="L170" s="12" t="inlineStr">
        <is>
          <t>×</t>
        </is>
      </c>
      <c r="M170" s="13" t="inlineStr">
        <is>
          <t>既存：ドロー。起動型トークン不要</t>
        </is>
      </c>
    </row>
    <row r="171" ht="37.5" customHeight="1">
      <c r="A171" s="7" t="n">
        <v>170</v>
      </c>
      <c r="B171" s="8" t="inlineStr">
        <is>
          <t>トークン</t>
        </is>
      </c>
      <c r="C171" s="8" t="inlineStr">
        <is>
          <t>ドロー・手札</t>
        </is>
      </c>
      <c r="D171" s="9" t="inlineStr">
        <is>
          <t>手掛かり</t>
        </is>
      </c>
      <c r="E171" s="10" t="inlineStr">
        <is>
          <t>Clue</t>
        </is>
      </c>
      <c r="F171" s="7" t="inlineStr">
        <is>
          <t>111.10f</t>
        </is>
      </c>
      <c r="G171" s="10" t="inlineStr">
        <is>
          <t>{2}を払って生け贄に捧げるとカードを1枚引くアーティファクト・トークン。</t>
        </is>
      </c>
      <c r="H171" s="8" t="inlineStr">
        <is>
          <t>イニストラードを覆う影 (2016)</t>
        </is>
      </c>
      <c r="I171" s="8" t="inlineStr">
        <is>
          <t>後でエネルギーを払って引ける予約ドロー。余ったエネルギーの使い道になる。生成するカードのポイントは即時ドローより少し安くする。</t>
        </is>
      </c>
      <c r="J171" s="11" t="inlineStr">
        <is>
          <t>高</t>
        </is>
      </c>
      <c r="K171" s="8" t="inlineStr">
        <is>
          <t>エネルギー</t>
        </is>
      </c>
      <c r="L171" s="12" t="inlineStr">
        <is>
          <t>◎</t>
        </is>
      </c>
      <c r="M171" s="13" t="inlineStr">
        <is>
          <t>【今回実装：効果『準備』（`prepare`・バッチB）】（審査時は○）次回：効果『準備』（次のターンに引く枚数+N）に統合（#420）</t>
        </is>
      </c>
    </row>
    <row r="172" ht="37.5" customHeight="1">
      <c r="A172" s="7" t="n">
        <v>171</v>
      </c>
      <c r="B172" s="8" t="inlineStr">
        <is>
          <t>トークン</t>
        </is>
      </c>
      <c r="C172" s="8" t="inlineStr">
        <is>
          <t>ドロー・手札</t>
        </is>
      </c>
      <c r="D172" s="9" t="inlineStr">
        <is>
          <t>血</t>
        </is>
      </c>
      <c r="E172" s="10" t="inlineStr">
        <is>
          <t>Blood</t>
        </is>
      </c>
      <c r="F172" s="7" t="inlineStr">
        <is>
          <t>111.10g</t>
        </is>
      </c>
      <c r="G172" s="10" t="inlineStr">
        <is>
          <t>{1}を払いタップしてカード1枚を捨て、生け贄に捧げるとカードを1枚引くアーティファクト・トークン。</t>
        </is>
      </c>
      <c r="H172" s="8" t="inlineStr">
        <is>
          <t>イニストラード：真紅の契り (2021)</t>
        </is>
      </c>
      <c r="I172" s="8" t="inlineStr">
        <is>
          <t>不要な手札を入れ替える仕組み。捨てたときに誘発する効果と組むと、捨て札デッキの燃料になる。手札の質を上げるだけなので手掛かりより安くする。</t>
        </is>
      </c>
      <c r="J172" s="11" t="inlineStr">
        <is>
          <t>高</t>
        </is>
      </c>
      <c r="K172" s="8" t="inlineStr">
        <is>
          <t>捨て札ゾーン</t>
        </is>
      </c>
      <c r="L172" s="12" t="inlineStr">
        <is>
          <t>◎</t>
        </is>
      </c>
      <c r="M172" s="13" t="inlineStr">
        <is>
          <t>【今回実装：手札整理】今回実装 効果『手札整理』loot（N=1）に統合</t>
        </is>
      </c>
    </row>
    <row r="173" ht="37.5" customHeight="1">
      <c r="A173" s="7" t="n">
        <v>172</v>
      </c>
      <c r="B173" s="8" t="inlineStr">
        <is>
          <t>トークン</t>
        </is>
      </c>
      <c r="C173" s="8" t="inlineStr">
        <is>
          <t>コスト・リソース</t>
        </is>
      </c>
      <c r="D173" s="9" t="inlineStr">
        <is>
          <t>パワーストーン</t>
        </is>
      </c>
      <c r="E173" s="10" t="inlineStr">
        <is>
          <t>Powerstone</t>
        </is>
      </c>
      <c r="F173" s="7" t="inlineStr">
        <is>
          <t>111.10h</t>
        </is>
      </c>
      <c r="G173" s="8" t="inlineStr">
        <is>
          <t>タップすると無色マナを生むが、そのマナはアーティファクトでない呪文には使えないアーティファクト・トークン。</t>
        </is>
      </c>
      <c r="H173" s="8" t="inlineStr">
        <is>
          <t>団結のドミナリア (2022)</t>
        </is>
      </c>
      <c r="I173" s="8" t="inlineStr">
        <is>
          <t>用途を制限したエネルギー。装置カードや起動能力にしか使えない資源にすると、テーマデッキの加速手段として強さを制御しやすい。</t>
        </is>
      </c>
      <c r="J173" s="11" t="inlineStr">
        <is>
          <t>高</t>
        </is>
      </c>
      <c r="K173" s="8" t="inlineStr">
        <is>
          <t>マナ/エネルギー</t>
        </is>
      </c>
      <c r="L173" s="12" t="inlineStr">
        <is>
          <t>×</t>
        </is>
      </c>
      <c r="M173" s="13" t="inlineStr">
        <is>
          <t>用途限定マナ・アーティファクト前提</t>
        </is>
      </c>
    </row>
    <row r="174" ht="41.5" customHeight="1">
      <c r="A174" s="7" t="n">
        <v>173</v>
      </c>
      <c r="B174" s="8" t="inlineStr">
        <is>
          <t>トークン</t>
        </is>
      </c>
      <c r="C174" s="8" t="inlineStr">
        <is>
          <t>展開・トークン</t>
        </is>
      </c>
      <c r="D174" s="9" t="inlineStr">
        <is>
          <t>培養器</t>
        </is>
      </c>
      <c r="E174" s="10" t="inlineStr">
        <is>
          <t>Incubator</t>
        </is>
      </c>
      <c r="F174" s="7" t="inlineStr">
        <is>
          <t>111.10i</t>
        </is>
      </c>
      <c r="G174" s="10" t="inlineStr">
        <is>
          <t>{2}を払うと変身し、置かれた+1/+1カウンター分の大きさのファイレクシアン・アーティファクト・クリーチャーになる両面トークン。</t>
        </is>
      </c>
      <c r="H174" s="8" t="inlineStr">
        <is>
          <t>機械兵団の進軍 (2023)</t>
        </is>
      </c>
      <c r="I174" s="8" t="inlineStr">
        <is>
          <t>後からエネルギーを払って孵化させる卵型ユニット。生成時は無害で、孵化させるタイミングが判断になる。孵化後のサイズと孵化コストでポイントを決める。</t>
        </is>
      </c>
      <c r="J174" s="11" t="inlineStr">
        <is>
          <t>中</t>
        </is>
      </c>
      <c r="K174" s="8" t="inlineStr">
        <is>
          <t>ユニット・変身</t>
        </is>
      </c>
      <c r="L174" s="12" t="inlineStr">
        <is>
          <t>△</t>
        </is>
      </c>
      <c r="M174" s="13" t="inlineStr">
        <is>
          <t>#168の派生『卵』：攻撃力0体力Nのトークン、2ターン後に攻撃力+M。変身なしで簡略化</t>
        </is>
      </c>
    </row>
    <row r="175" ht="41.5" customHeight="1">
      <c r="A175" s="7" t="n">
        <v>174</v>
      </c>
      <c r="B175" s="8" t="inlineStr">
        <is>
          <t>トークン</t>
        </is>
      </c>
      <c r="C175" s="8" t="inlineStr">
        <is>
          <t>強化</t>
        </is>
      </c>
      <c r="D175" s="9" t="inlineStr">
        <is>
          <t>役割</t>
        </is>
      </c>
      <c r="E175" s="10" t="inlineStr">
        <is>
          <t>Role</t>
        </is>
      </c>
      <c r="F175" s="7" t="inlineStr">
        <is>
          <t>303.7</t>
        </is>
      </c>
      <c r="G175" s="8" t="inlineStr">
        <is>
          <t>クリーチャーにつけるオーラ・トークン。怪物・王族・魔術師・聖者・ひねくれ者・若き英雄・呪われし者の7種がある。</t>
        </is>
      </c>
      <c r="H175" s="8" t="inlineStr">
        <is>
          <t>エルドレインの森 (2023)</t>
        </is>
      </c>
      <c r="I175" s="8" t="inlineStr">
        <is>
          <t>ユニットに付与する定型の役割。同じ持ち主の役割は1体に1つまでなので上書きが起きる。呪われし者のように相手を弱らせる役割も含め、役割名を指定するだけでカード文が済む。</t>
        </is>
      </c>
      <c r="J175" s="11" t="inlineStr">
        <is>
          <t>中</t>
        </is>
      </c>
      <c r="K175" s="8" t="inlineStr">
        <is>
          <t>ユニット・装着</t>
        </is>
      </c>
      <c r="L175" s="12" t="inlineStr">
        <is>
          <t>◎</t>
        </is>
      </c>
      <c r="M175" s="13" t="inlineStr">
        <is>
          <t>【今回実装：キーワード付与】今回実装 効果『キーワード付与』grantKeyword に統合（#142）</t>
        </is>
      </c>
    </row>
    <row r="176" ht="45.5" customHeight="1">
      <c r="A176" s="7" t="n">
        <v>175</v>
      </c>
      <c r="B176" s="8" t="inlineStr">
        <is>
          <t>トークン</t>
        </is>
      </c>
      <c r="C176" s="8" t="inlineStr">
        <is>
          <t>山札操作</t>
        </is>
      </c>
      <c r="D176" s="9" t="inlineStr">
        <is>
          <t>地図</t>
        </is>
      </c>
      <c r="E176" s="10" t="inlineStr">
        <is>
          <t>Map</t>
        </is>
      </c>
      <c r="F176" s="7" t="inlineStr">
        <is>
          <t>111.10s</t>
        </is>
      </c>
      <c r="G176" s="10" t="inlineStr">
        <is>
          <t>{1}を払いタップして生け贄に捧げると、自分のクリーチャー1体が探検するアーティファクト・トークン。ソーサリー・タイミングのみ。</t>
        </is>
      </c>
      <c r="H176" s="8" t="inlineStr">
        <is>
          <t>イクサラン：失われし洞窟 (2023)</t>
        </is>
      </c>
      <c r="I176" s="8" t="inlineStr">
        <is>
          <t>山札の一番上を見て、資源なら手札に、それ以外ならユニット強化か捨て札かを選ぶ。山札操作と成長を両立する小型アイテムとして実装する。</t>
        </is>
      </c>
      <c r="J176" s="11" t="inlineStr">
        <is>
          <t>中</t>
        </is>
      </c>
      <c r="K176" s="8" t="inlineStr">
        <is>
          <t>山札・ユニット</t>
        </is>
      </c>
      <c r="L176" s="12" t="inlineStr">
        <is>
          <t>△</t>
        </is>
      </c>
      <c r="M176" s="13" t="inlineStr">
        <is>
          <t>効果『探検』：山札の上がモンスターなら手札へ、違えば自分のモンスター攻撃力+N。6pt</t>
        </is>
      </c>
    </row>
    <row r="177" ht="37.5" customHeight="1">
      <c r="A177" s="7" t="n">
        <v>176</v>
      </c>
      <c r="B177" s="8" t="inlineStr">
        <is>
          <t>トークン</t>
        </is>
      </c>
      <c r="C177" s="8" t="inlineStr">
        <is>
          <t>ドロー・手札</t>
        </is>
      </c>
      <c r="D177" s="9" t="inlineStr">
        <is>
          <t>ジャンク</t>
        </is>
      </c>
      <c r="E177" s="10" t="inlineStr">
        <is>
          <t>Junk</t>
        </is>
      </c>
      <c r="F177" s="7" t="inlineStr">
        <is>
          <t>111.10t</t>
        </is>
      </c>
      <c r="G177" s="8" t="inlineStr">
        <is>
          <t>タップして生け贄に捧げると、ライブラリーの一番上を追放し、そのターンそれをプレイできるアーティファクト・トークン。</t>
        </is>
      </c>
      <c r="H177" s="10" t="inlineStr">
        <is>
          <t>Fallout (2024)</t>
        </is>
      </c>
      <c r="I177" s="8" t="inlineStr">
        <is>
          <t>山札の上を一時的に使える追加手札。ソーサリー・タイミング限定で、使わないと失われる。即時ドローより劣る分ポイントを下げる。</t>
        </is>
      </c>
      <c r="J177" s="11" t="inlineStr">
        <is>
          <t>中</t>
        </is>
      </c>
      <c r="K177" s="8" t="inlineStr">
        <is>
          <t>山札・一時領域</t>
        </is>
      </c>
      <c r="L177" s="12" t="inlineStr">
        <is>
          <t>×</t>
        </is>
      </c>
      <c r="M177" s="13" t="inlineStr">
        <is>
          <t>既存：ドロー（手札は毎ターン捨てるので『このターン限り』と同じ）</t>
        </is>
      </c>
    </row>
    <row r="178" ht="41.5" customHeight="1">
      <c r="A178" s="7" t="n">
        <v>177</v>
      </c>
      <c r="B178" s="8" t="inlineStr">
        <is>
          <t>トークン</t>
        </is>
      </c>
      <c r="C178" s="8" t="inlineStr">
        <is>
          <t>コスト・リソース</t>
        </is>
      </c>
      <c r="D178" s="9" t="inlineStr">
        <is>
          <t>着陸船</t>
        </is>
      </c>
      <c r="E178" s="10" t="inlineStr">
        <is>
          <t>Lander</t>
        </is>
      </c>
      <c r="F178" s="7" t="inlineStr">
        <is>
          <t>111.10u</t>
        </is>
      </c>
      <c r="G178" s="10" t="inlineStr">
        <is>
          <t>{2}を払いタップして生け贄に捧げると、基本土地を探してタップ状態で戦場に出すアーティファクト・トークン。</t>
        </is>
      </c>
      <c r="H178" s="8" t="inlineStr">
        <is>
          <t>久遠の終端 (2025)</t>
        </is>
      </c>
      <c r="I178" s="8" t="inlineStr">
        <is>
          <t>資源カードを山札から直接出す加速アイテム。山札の圧縮にもなる。資源を増やす効果は後半ほど価値が下がるので、生成カードは序盤向けに安めにする。</t>
        </is>
      </c>
      <c r="J178" s="11" t="inlineStr">
        <is>
          <t>中</t>
        </is>
      </c>
      <c r="K178" s="8" t="inlineStr">
        <is>
          <t>資源カード</t>
        </is>
      </c>
      <c r="L178" s="12" t="inlineStr">
        <is>
          <t>×</t>
        </is>
      </c>
      <c r="M178" s="13" t="inlineStr">
        <is>
          <t>土地・資源カード前提</t>
        </is>
      </c>
    </row>
    <row r="179" ht="45.5" customHeight="1">
      <c r="A179" s="7" t="n">
        <v>178</v>
      </c>
      <c r="B179" s="8" t="inlineStr">
        <is>
          <t>トークン</t>
        </is>
      </c>
      <c r="C179" s="8" t="inlineStr">
        <is>
          <t>強化</t>
        </is>
      </c>
      <c r="D179" s="9" t="inlineStr">
        <is>
          <t>ミュータンジェン</t>
        </is>
      </c>
      <c r="E179" s="10" t="inlineStr">
        <is>
          <t>Mutagen</t>
        </is>
      </c>
      <c r="F179" s="7" t="inlineStr">
        <is>
          <t>111.10v</t>
        </is>
      </c>
      <c r="G179" s="10" t="inlineStr">
        <is>
          <t>{1}を払いタップして生け贄に捧げると、クリーチャー1体に+1/+1カウンターを置くアーティファクト・トークン。ソーサリー・タイミングのみ。</t>
        </is>
      </c>
      <c r="H179" s="8" t="inlineStr">
        <is>
          <t>ミュータント タートルズ (2026)</t>
        </is>
      </c>
      <c r="I179" s="8" t="inlineStr">
        <is>
          <t>溜めておける強化アイテム。ユニットが出た後に好きな対象へ使える柔軟さがある。+1/+1カウンター1個のポイントから支払いエネルギー分を引いて設計する。</t>
        </is>
      </c>
      <c r="J179" s="11" t="inlineStr">
        <is>
          <t>高</t>
        </is>
      </c>
      <c r="K179" s="8" t="inlineStr">
        <is>
          <t>ユニット</t>
        </is>
      </c>
      <c r="L179" s="12" t="inlineStr">
        <is>
          <t>×</t>
        </is>
      </c>
      <c r="M179" s="13" t="inlineStr">
        <is>
          <t>既存：攻撃力アップ</t>
        </is>
      </c>
    </row>
    <row r="180" ht="41.5" customHeight="1">
      <c r="A180" s="7" t="n">
        <v>179</v>
      </c>
      <c r="B180" s="8" t="inlineStr">
        <is>
          <t>トークン</t>
        </is>
      </c>
      <c r="C180" s="8" t="inlineStr">
        <is>
          <t>コスト・リソース</t>
        </is>
      </c>
      <c r="D180" s="9" t="inlineStr">
        <is>
          <t>ヴィブラニウム</t>
        </is>
      </c>
      <c r="E180" s="10" t="inlineStr">
        <is>
          <t>Vibranium</t>
        </is>
      </c>
      <c r="F180" s="7" t="inlineStr">
        <is>
          <t>111.10w</t>
        </is>
      </c>
      <c r="G180" s="8" t="inlineStr">
        <is>
          <t>破壊不能で、タップするとアーティファクトの呪文などに使える無色マナを生むアーティファクト・トークン。</t>
        </is>
      </c>
      <c r="H180" s="8" t="inlineStr">
        <is>
          <t>マーベル スーパー・ヒーローズ統率者デッキ (2026)</t>
        </is>
      </c>
      <c r="I180" s="8" t="inlineStr">
        <is>
          <t>破壊されない資源。パワーストーンの耐性版として装置デッキの基盤を守る。破壊不能という耐性分だけポイントを上乗せする好例になる。</t>
        </is>
      </c>
      <c r="J180" s="11" t="inlineStr">
        <is>
          <t>高</t>
        </is>
      </c>
      <c r="K180" s="8" t="inlineStr">
        <is>
          <t>マナ/エネルギー</t>
        </is>
      </c>
      <c r="L180" s="12" t="inlineStr">
        <is>
          <t>×</t>
        </is>
      </c>
      <c r="M180" s="13" t="inlineStr">
        <is>
          <t>マナ・アーティファクト前提</t>
        </is>
      </c>
    </row>
    <row r="181" ht="41.5" customHeight="1">
      <c r="A181" s="7" t="n">
        <v>180</v>
      </c>
      <c r="B181" s="8" t="inlineStr">
        <is>
          <t>トークン</t>
        </is>
      </c>
      <c r="C181" s="8" t="inlineStr">
        <is>
          <t>コスト・リソース</t>
        </is>
      </c>
      <c r="D181" s="9" t="inlineStr">
        <is>
          <t>魂木</t>
        </is>
      </c>
      <c r="E181" s="10" t="inlineStr">
        <is>
          <t>Heartwood</t>
        </is>
      </c>
      <c r="F181" s="7" t="inlineStr">
        <is>
          <t>111.10x</t>
        </is>
      </c>
      <c r="G181" s="8" t="inlineStr">
        <is>
          <t>タップすると赤か緑のマナを生む、赤緑2色のアーティファクト・トークン。</t>
        </is>
      </c>
      <c r="H181" s="8" t="inlineStr">
        <is>
          <t>リアリティ・フラクチャー (2026)</t>
        </is>
      </c>
      <c r="I181" s="8" t="inlineStr">
        <is>
          <t>色を持つ資源トークン。属性付きにすると、属性の数を数える効果や属性制限と絡められる。2属性に限られる点を価値として加味する。</t>
        </is>
      </c>
      <c r="J181" s="11" t="inlineStr">
        <is>
          <t>高</t>
        </is>
      </c>
      <c r="K181" s="8" t="inlineStr">
        <is>
          <t>色・属性システム</t>
        </is>
      </c>
      <c r="L181" s="12" t="inlineStr">
        <is>
          <t>×</t>
        </is>
      </c>
      <c r="M181" s="13" t="inlineStr">
        <is>
          <t>色・属性の仕組みが無い</t>
        </is>
      </c>
    </row>
    <row r="182" ht="54" customHeight="1">
      <c r="A182" s="7" t="n">
        <v>181</v>
      </c>
      <c r="B182" s="8" t="inlineStr">
        <is>
          <t>トークン</t>
        </is>
      </c>
      <c r="C182" s="8" t="inlineStr">
        <is>
          <t>展開・トークン</t>
        </is>
      </c>
      <c r="D182" s="9" t="inlineStr">
        <is>
          <t>エルドラージ・落とし子／末裔</t>
        </is>
      </c>
      <c r="E182" s="10" t="inlineStr">
        <is>
          <t>Eldrazi Spawn / Eldrazi Scion</t>
        </is>
      </c>
      <c r="F182" s="7" t="n"/>
      <c r="G182" s="8" t="inlineStr">
        <is>
          <t>生け贄に捧げると無色マナを1点生むクリーチャー・トークン。落とし子は0/1、末裔は1/1。</t>
        </is>
      </c>
      <c r="H182" s="8" t="inlineStr">
        <is>
          <t>エルドラージ覚醒 (2010)</t>
        </is>
      </c>
      <c r="I182" s="8" t="inlineStr">
        <is>
          <t>壁にもエネルギーにもなる一時ユニット。用途が2つある分、片方だけのトークンより少し高いポイントにする。ステータス違いの同系統トークンを用意すると生成カードの段階付けがしやすい。</t>
        </is>
      </c>
      <c r="J182" s="11" t="inlineStr">
        <is>
          <t>高</t>
        </is>
      </c>
      <c r="K182" s="8" t="inlineStr">
        <is>
          <t>ユニット・エネルギー</t>
        </is>
      </c>
      <c r="L182" s="12" t="inlineStr">
        <is>
          <t>△</t>
        </is>
      </c>
      <c r="M182" s="13" t="inlineStr">
        <is>
          <t>#168のトークンに『破壊されたときエナジー+1』を持たせた版で表現できる</t>
        </is>
      </c>
    </row>
    <row r="183" ht="37.5" customHeight="1">
      <c r="A183" s="7" t="n">
        <v>182</v>
      </c>
      <c r="B183" s="8" t="inlineStr">
        <is>
          <t>トークン</t>
        </is>
      </c>
      <c r="C183" s="8" t="inlineStr">
        <is>
          <t>展開・トークン</t>
        </is>
      </c>
      <c r="D183" s="9" t="inlineStr">
        <is>
          <t>ジェイス・プレインズウォーカー・トークン</t>
        </is>
      </c>
      <c r="E183" s="10" t="inlineStr">
        <is>
          <t>Jace planeswalker token</t>
        </is>
      </c>
      <c r="F183" s="7" t="inlineStr">
        <is>
          <t>701.71</t>
        </is>
      </c>
      <c r="G183" s="8" t="inlineStr">
        <is>
          <t>ジェイス付与で生成される忠誠度0の青いPWトークン。伝説ではなく、諜報1とドローの能力を持つ。</t>
        </is>
      </c>
      <c r="H183" s="8" t="inlineStr">
        <is>
          <t>リアリティ・フラクチャー (2026)</t>
        </is>
      </c>
      <c r="I183" s="8" t="inlineStr">
        <is>
          <t>付与系の効果で育つ共有のサブ司令塔。既にいれば成長、いなければ生成という分岐が単純で、複数のカードから同じ対象を育てられる。</t>
        </is>
      </c>
      <c r="J183" s="11" t="inlineStr">
        <is>
          <t>中</t>
        </is>
      </c>
      <c r="K183" s="8" t="inlineStr">
        <is>
          <t>サブ司令塔カード</t>
        </is>
      </c>
      <c r="L183" s="12" t="inlineStr">
        <is>
          <t>×</t>
        </is>
      </c>
      <c r="M183" s="13" t="inlineStr">
        <is>
          <t>プレインズウォーカー・サブ司令塔の仕組みが無い</t>
        </is>
      </c>
    </row>
    <row r="184" ht="41.5" customHeight="1">
      <c r="A184" s="7" t="n">
        <v>183</v>
      </c>
      <c r="B184" s="8" t="inlineStr">
        <is>
          <t>指定・状態</t>
        </is>
      </c>
      <c r="C184" s="8" t="inlineStr">
        <is>
          <t>多人数・交流</t>
        </is>
      </c>
      <c r="D184" s="9" t="inlineStr">
        <is>
          <t>統治者</t>
        </is>
      </c>
      <c r="E184" s="10" t="inlineStr">
        <is>
          <t>The Monarch</t>
        </is>
      </c>
      <c r="F184" s="7" t="inlineStr">
        <is>
          <t>725</t>
        </is>
      </c>
      <c r="G184" s="8" t="inlineStr">
        <is>
          <t>終了ステップの開始時にカードを1枚引ける指定。統治者に戦闘ダメージを与えたプレイヤーが奪い取る。</t>
        </is>
      </c>
      <c r="H184" s="8" t="inlineStr">
        <is>
          <t>コンスピラシー：王位争奪 (2016)</t>
        </is>
      </c>
      <c r="I184" s="8" t="inlineStr">
        <is>
          <t>奪い合う王冠。持っていると毎ターン1枚多く引け、攻撃を通した相手に移る。攻める動機が生まれるので、獲得カードのポイントは奪われるリスク込みで中程度にする。</t>
        </is>
      </c>
      <c r="J184" s="11" t="inlineStr">
        <is>
          <t>高</t>
        </is>
      </c>
      <c r="K184" s="8" t="inlineStr">
        <is>
          <t>プレイヤー状態値</t>
        </is>
      </c>
      <c r="L184" s="12" t="inlineStr">
        <is>
          <t>◎</t>
        </is>
      </c>
      <c r="M184" s="13" t="inlineStr">
        <is>
          <t>【今回実装：王冠（効果『王冠を得る』・条件『王冠を持っている』）（`monarch`・バッチC2）】（審査時は○）『王冠』：保持中はターン終了時に1枚ドロー。プレイヤーにダメージを通されると奪われる。攻める理由になる</t>
        </is>
      </c>
    </row>
    <row r="185" ht="41.5" customHeight="1">
      <c r="A185" s="7" t="n">
        <v>184</v>
      </c>
      <c r="B185" s="8" t="inlineStr">
        <is>
          <t>指定・状態</t>
        </is>
      </c>
      <c r="C185" s="8" t="inlineStr">
        <is>
          <t>多人数・交流</t>
        </is>
      </c>
      <c r="D185" s="9" t="inlineStr">
        <is>
          <t>イニシアチブ</t>
        </is>
      </c>
      <c r="E185" s="10" t="inlineStr">
        <is>
          <t>The Initiative</t>
        </is>
      </c>
      <c r="F185" s="7" t="inlineStr">
        <is>
          <t>726</t>
        </is>
      </c>
      <c r="G185" s="8" t="inlineStr">
        <is>
          <t>得たときと毎アップキープに地下街を探索する指定。戦闘ダメージを与えられたプレイヤーに奪われる。</t>
        </is>
      </c>
      <c r="H185" s="8" t="inlineStr">
        <is>
          <t>統率者レジェンズ：バルダーズ・ゲートの戦い (2022)</t>
        </is>
      </c>
      <c r="I185" s="8" t="inlineStr">
        <is>
          <t>保持中は毎ターン進行ボードを1マス進める奪い合い型の指定。統治者より報酬が大きい分、奪われやすい条件にする。</t>
        </is>
      </c>
      <c r="J185" s="11" t="inlineStr">
        <is>
          <t>中</t>
        </is>
      </c>
      <c r="K185" s="8" t="inlineStr">
        <is>
          <t>進行トラック・UI</t>
        </is>
      </c>
      <c r="L185" s="12" t="inlineStr">
        <is>
          <t>×</t>
        </is>
      </c>
      <c r="M185" s="13" t="inlineStr">
        <is>
          <t>ダンジョン進行トラックが重い</t>
        </is>
      </c>
    </row>
    <row r="186" ht="41.5" customHeight="1">
      <c r="A186" s="7" t="n">
        <v>185</v>
      </c>
      <c r="B186" s="8" t="inlineStr">
        <is>
          <t>指定・状態</t>
        </is>
      </c>
      <c r="C186" s="8" t="inlineStr">
        <is>
          <t>条件ボーナス</t>
        </is>
      </c>
      <c r="D186" s="9" t="inlineStr">
        <is>
          <t>都市の承認</t>
        </is>
      </c>
      <c r="E186" s="10" t="inlineStr">
        <is>
          <t>City's blessing</t>
        </is>
      </c>
      <c r="F186" s="7" t="inlineStr">
        <is>
          <t>702.131</t>
        </is>
      </c>
      <c r="G186" s="8" t="inlineStr">
        <is>
          <t>昇殿を持つものがあり、パーマネントを10個以上コントロールすると得られ、ゲームの終わりまで続く指定。</t>
        </is>
      </c>
      <c r="H186" s="8" t="inlineStr">
        <is>
          <t>イクサランの相克 (2018)</t>
        </is>
      </c>
      <c r="I186" s="8" t="inlineStr">
        <is>
          <t>「場に10枚以上」で一度得たら永続する達成フラグ。フラグを参照してカードが強化される。達成の難しさを考慮して強化効果を大きめにできる。</t>
        </is>
      </c>
      <c r="J186" s="11" t="inlineStr">
        <is>
          <t>高</t>
        </is>
      </c>
      <c r="K186" s="8" t="inlineStr">
        <is>
          <t>条件判定</t>
        </is>
      </c>
      <c r="L186" s="12" t="inlineStr">
        <is>
          <t>×</t>
        </is>
      </c>
      <c r="M186" s="13" t="inlineStr">
        <is>
          <t>既存：条件『場にモンスター3体以上』と近い。永続フラグは不要</t>
        </is>
      </c>
    </row>
    <row r="187" ht="37.5" customHeight="1">
      <c r="A187" s="7" t="n">
        <v>186</v>
      </c>
      <c r="B187" s="8" t="inlineStr">
        <is>
          <t>指定・状態</t>
        </is>
      </c>
      <c r="C187" s="8" t="inlineStr">
        <is>
          <t>条件ボーナス</t>
        </is>
      </c>
      <c r="D187" s="9" t="inlineStr">
        <is>
          <t>昼と夜</t>
        </is>
      </c>
      <c r="E187" s="10" t="inlineStr">
        <is>
          <t>Day / Night</t>
        </is>
      </c>
      <c r="F187" s="7" t="inlineStr">
        <is>
          <t>731</t>
        </is>
      </c>
      <c r="G187" s="8" t="inlineStr">
        <is>
          <t>ゲーム全体の状態。昼に手番のプレイヤーが呪文を唱えないと夜に、夜に2つ以上唱えると昼になる。</t>
        </is>
      </c>
      <c r="H187" s="8" t="inlineStr">
        <is>
          <t>イニストラード：真夜中の狩り (2021)</t>
        </is>
      </c>
      <c r="I187" s="8" t="inlineStr">
        <is>
          <t>両者共通の昼夜状態をカードの使用数で切り替え、昼夜で裏返るカードの面を変える。行動量をわざと抑える駆け引きが生まれる。</t>
        </is>
      </c>
      <c r="J187" s="11" t="inlineStr">
        <is>
          <t>中</t>
        </is>
      </c>
      <c r="K187" s="8" t="inlineStr">
        <is>
          <t>共有フィールド枠</t>
        </is>
      </c>
      <c r="L187" s="12" t="inlineStr">
        <is>
          <t>△</t>
        </is>
      </c>
      <c r="M187" s="13" t="inlineStr">
        <is>
          <t>両者共通の昼夜状態。カード使用数で切替、昼夜の条件を追加。共有状態とUIが要る</t>
        </is>
      </c>
    </row>
    <row r="188" ht="45.5" customHeight="1">
      <c r="A188" s="7" t="n">
        <v>187</v>
      </c>
      <c r="B188" s="8" t="inlineStr">
        <is>
          <t>指定・状態</t>
        </is>
      </c>
      <c r="C188" s="8" t="inlineStr">
        <is>
          <t>条件ボーナス</t>
        </is>
      </c>
      <c r="D188" s="9" t="inlineStr">
        <is>
          <t>速度</t>
        </is>
      </c>
      <c r="E188" s="10" t="inlineStr">
        <is>
          <t>Speed</t>
        </is>
      </c>
      <c r="F188" s="7" t="inlineStr">
        <is>
          <t>702.179</t>
        </is>
      </c>
      <c r="G188" s="8" t="inlineStr">
        <is>
          <t>エンジン始動！で得る1〜4の値。自分のターンに対戦相手がライフを失うと1ターン1回上がり、4で最高速度能力が働く。</t>
        </is>
      </c>
      <c r="H188" s="8" t="inlineStr">
        <is>
          <t>霊気走破 (2025)</t>
        </is>
      </c>
      <c r="I188" s="8" t="inlineStr">
        <is>
          <t>相手のHPを削るたびに上がる加速ゲージ。最大で追加能力が開放され、下がらないので攻め続ける動機になる。最大到達時のボーナスは強めにしてよい。</t>
        </is>
      </c>
      <c r="J188" s="11" t="inlineStr">
        <is>
          <t>高</t>
        </is>
      </c>
      <c r="K188" s="8" t="inlineStr">
        <is>
          <t>プレイヤー状態値</t>
        </is>
      </c>
      <c r="L188" s="12" t="inlineStr">
        <is>
          <t>◎</t>
        </is>
      </c>
      <c r="M188" s="13" t="inlineStr">
        <is>
          <t>【今回実装：速度ゲージ（効果『エンジン始動』・条件『速度が最大』）（`speedGauge`・バッチC2）】（審査時は○）#387 の速度ゲージに統合（次回）</t>
        </is>
      </c>
    </row>
    <row r="189" ht="37.5" customHeight="1">
      <c r="A189" s="7" t="n">
        <v>188</v>
      </c>
      <c r="B189" s="8" t="inlineStr">
        <is>
          <t>指定・状態</t>
        </is>
      </c>
      <c r="C189" s="8" t="inlineStr">
        <is>
          <t>反復・再利用</t>
        </is>
      </c>
      <c r="D189" s="9" t="inlineStr">
        <is>
          <t>統率者</t>
        </is>
      </c>
      <c r="E189" s="10" t="inlineStr">
        <is>
          <t>Commander</t>
        </is>
      </c>
      <c r="F189" s="7" t="inlineStr">
        <is>
          <t>903.3</t>
        </is>
      </c>
      <c r="G189" s="8" t="inlineStr">
        <is>
          <t>デッキ構築時に選ぶ伝説のクリーチャーなどに付く指定。統率領域から唱えられ、墓地や追放に行くときは統率領域に戻せる。</t>
        </is>
      </c>
      <c r="H189" s="8" t="inlineStr">
        <is>
          <t>統率者 (2011)</t>
        </is>
      </c>
      <c r="I189" s="8" t="inlineStr">
        <is>
          <t>常に使えるリーダーカード。手札に頼らず毎試合登場できるので、デッキの個性がぶれにくい。倒されても戻せる分、再登場コストの増加で釣り合いを取る。</t>
        </is>
      </c>
      <c r="J189" s="11" t="inlineStr">
        <is>
          <t>中</t>
        </is>
      </c>
      <c r="K189" s="8" t="inlineStr">
        <is>
          <t>リーダーユニット</t>
        </is>
      </c>
      <c r="L189" s="12" t="inlineStr">
        <is>
          <t>×</t>
        </is>
      </c>
      <c r="M189" s="13" t="inlineStr">
        <is>
          <t>統率者（リーダー）前提</t>
        </is>
      </c>
    </row>
    <row r="190" ht="37.5" customHeight="1">
      <c r="A190" s="7" t="n">
        <v>189</v>
      </c>
      <c r="B190" s="8" t="inlineStr">
        <is>
          <t>指定・状態</t>
        </is>
      </c>
      <c r="C190" s="8" t="inlineStr">
        <is>
          <t>コスト・リソース</t>
        </is>
      </c>
      <c r="D190" s="9" t="inlineStr">
        <is>
          <t>統率者税</t>
        </is>
      </c>
      <c r="E190" s="10" t="inlineStr">
        <is>
          <t>Commander tax</t>
        </is>
      </c>
      <c r="F190" s="7" t="inlineStr">
        <is>
          <t>903.8</t>
        </is>
      </c>
      <c r="G190" s="8" t="inlineStr">
        <is>
          <t>統率者を統率領域から唱えるたび、それまでに唱えた回数×{2}が追加でかかる。</t>
        </is>
      </c>
      <c r="H190" s="8" t="inlineStr">
        <is>
          <t>統率者 (2011)</t>
        </is>
      </c>
      <c r="I190" s="8" t="inlineStr">
        <is>
          <t>再召喚のたびにコストが上がる仕組み。リーダーを何度倒されても戻せるが重くなる。累進コストは他の再利用カードにも転用できる。</t>
        </is>
      </c>
      <c r="J190" s="11" t="inlineStr">
        <is>
          <t>高</t>
        </is>
      </c>
      <c r="K190" s="8" t="inlineStr">
        <is>
          <t>リーダーユニット</t>
        </is>
      </c>
      <c r="L190" s="12" t="inlineStr">
        <is>
          <t>×</t>
        </is>
      </c>
      <c r="M190" s="13" t="inlineStr">
        <is>
          <t>統率者前提</t>
        </is>
      </c>
    </row>
    <row r="191" ht="45.5" customHeight="1">
      <c r="A191" s="7" t="n">
        <v>190</v>
      </c>
      <c r="B191" s="8" t="inlineStr">
        <is>
          <t>指定・状態</t>
        </is>
      </c>
      <c r="C191" s="8" t="inlineStr">
        <is>
          <t>勝利条件</t>
        </is>
      </c>
      <c r="D191" s="9" t="inlineStr">
        <is>
          <t>統率者ダメージ</t>
        </is>
      </c>
      <c r="E191" s="10" t="inlineStr">
        <is>
          <t>Commander damage</t>
        </is>
      </c>
      <c r="F191" s="7" t="inlineStr">
        <is>
          <t>903.10a</t>
        </is>
      </c>
      <c r="G191" s="8" t="inlineStr">
        <is>
          <t>同じ統率者から合計21点以上の戦闘ダメージを受けたプレイヤーは敗北する。</t>
        </is>
      </c>
      <c r="H191" s="8" t="inlineStr">
        <is>
          <t>統率者 (2011)</t>
        </is>
      </c>
      <c r="I191" s="8" t="inlineStr">
        <is>
          <t>リーダーごとの与ダメージを累計する第2の敗北条件。HPが多い大型戦でもリーダー主体の速攻が成立する。累計値を表示するUIが必要。</t>
        </is>
      </c>
      <c r="J191" s="11" t="inlineStr">
        <is>
          <t>中</t>
        </is>
      </c>
      <c r="K191" s="8" t="inlineStr">
        <is>
          <t>リーダー・被ダメ記録</t>
        </is>
      </c>
      <c r="L191" s="12" t="inlineStr">
        <is>
          <t>×</t>
        </is>
      </c>
      <c r="M191" s="13" t="inlineStr">
        <is>
          <t>統率者前提</t>
        </is>
      </c>
    </row>
    <row r="192" ht="41.5" customHeight="1">
      <c r="A192" s="7" t="n">
        <v>191</v>
      </c>
      <c r="B192" s="8" t="inlineStr">
        <is>
          <t>指定・状態</t>
        </is>
      </c>
      <c r="C192" s="8" t="inlineStr">
        <is>
          <t>強化</t>
        </is>
      </c>
      <c r="D192" s="9" t="inlineStr">
        <is>
          <t>紋章</t>
        </is>
      </c>
      <c r="E192" s="10" t="inlineStr">
        <is>
          <t>Emblem</t>
        </is>
      </c>
      <c r="F192" s="7" t="inlineStr">
        <is>
          <t>114</t>
        </is>
      </c>
      <c r="G192" s="8" t="inlineStr">
        <is>
          <t>プレインズウォーカーの奥義などで得る、能力だけを持つマーカー。統率領域に置かれ、除去されない。</t>
        </is>
      </c>
      <c r="H192" s="8" t="inlineStr">
        <is>
          <t>基本セット2011 (2010)</t>
        </is>
      </c>
      <c r="I192" s="8" t="inlineStr">
        <is>
          <t>試合中に獲得する恒久バフ。除去できないので強い効果に向く。ローグライク的に戦闘報酬として紋章を得るCPU戦モードにも使える。</t>
        </is>
      </c>
      <c r="J192" s="11" t="inlineStr">
        <is>
          <t>高</t>
        </is>
      </c>
      <c r="K192" s="8" t="inlineStr">
        <is>
          <t>常設UI枠</t>
        </is>
      </c>
      <c r="L192" s="12" t="inlineStr">
        <is>
          <t>△</t>
        </is>
      </c>
      <c r="M192" s="13" t="inlineStr">
        <is>
          <t>除去不能のパワー。パワー上限3との兼ね合いがあり、レジェンド限定で検討</t>
        </is>
      </c>
    </row>
    <row r="193" ht="37.5" customHeight="1">
      <c r="A193" s="7" t="n">
        <v>192</v>
      </c>
      <c r="B193" s="8" t="inlineStr">
        <is>
          <t>指定・状態</t>
        </is>
      </c>
      <c r="C193" s="8" t="inlineStr">
        <is>
          <t>多人数・交流</t>
        </is>
      </c>
      <c r="D193" s="9" t="inlineStr">
        <is>
          <t>守る者</t>
        </is>
      </c>
      <c r="E193" s="10" t="inlineStr">
        <is>
          <t>Protector</t>
        </is>
      </c>
      <c r="F193" s="7" t="inlineStr">
        <is>
          <t>310.9</t>
        </is>
      </c>
      <c r="G193" s="8" t="inlineStr">
        <is>
          <t>バトルを守るプレイヤーの指定。バトルへの攻撃をブロックでき、包囲戦では対戦相手の中から選ぶ。</t>
        </is>
      </c>
      <c r="H193" s="8" t="inlineStr">
        <is>
          <t>機械兵団の進軍 (2023)</t>
        </is>
      </c>
      <c r="I193" s="8" t="inlineStr">
        <is>
          <t>攻略目標の防衛担当を決める仕組み。攻略目標を相手陣地に置き、相手が守るか放置するかを選ばせる。多人数戦では誰に守らせるかの政治も生まれる。</t>
        </is>
      </c>
      <c r="J193" s="11" t="inlineStr">
        <is>
          <t>中</t>
        </is>
      </c>
      <c r="K193" s="8" t="inlineStr">
        <is>
          <t>攻略目標カード</t>
        </is>
      </c>
      <c r="L193" s="12" t="inlineStr">
        <is>
          <t>×</t>
        </is>
      </c>
      <c r="M193" s="13" t="inlineStr">
        <is>
          <t>バトル・多人数前提</t>
        </is>
      </c>
    </row>
    <row r="194" ht="37.5" customHeight="1">
      <c r="A194" s="7" t="n">
        <v>193</v>
      </c>
      <c r="B194" s="8" t="inlineStr">
        <is>
          <t>指定・状態</t>
        </is>
      </c>
      <c r="C194" s="8" t="inlineStr">
        <is>
          <t>妨害</t>
        </is>
      </c>
      <c r="D194" s="9" t="inlineStr">
        <is>
          <t>容疑をかけられた</t>
        </is>
      </c>
      <c r="E194" s="10" t="inlineStr">
        <is>
          <t>Suspected</t>
        </is>
      </c>
      <c r="F194" s="7" t="inlineStr">
        <is>
          <t>701.60</t>
        </is>
      </c>
      <c r="G194" s="8" t="inlineStr">
        <is>
          <t>容疑をかけられたクリーチャーは威迫を持ち、ブロックできなくなる。</t>
        </is>
      </c>
      <c r="H194" s="8" t="inlineStr">
        <is>
          <t>カルロフ邸殺人事件 (2024)</t>
        </is>
      </c>
      <c r="I194" s="8" t="inlineStr">
        <is>
          <t>攻撃は強いが守れない状態を付けるデバフ兼バフ。相手ユニットにも味方にも使える。損得が相殺に近いので低ポイントで作れる。</t>
        </is>
      </c>
      <c r="J194" s="11" t="inlineStr">
        <is>
          <t>高</t>
        </is>
      </c>
      <c r="K194" s="8" t="inlineStr">
        <is>
          <t>ユニット・状態フラグ</t>
        </is>
      </c>
      <c r="L194" s="12" t="inlineStr">
        <is>
          <t>△</t>
        </is>
      </c>
      <c r="M194" s="13" t="inlineStr">
        <is>
          <t>ブロックが無い。『攻撃力+Nだが反撃しない・挑発を失う』状態に変形</t>
        </is>
      </c>
    </row>
    <row r="195" ht="41.5" customHeight="1">
      <c r="A195" s="7" t="n">
        <v>194</v>
      </c>
      <c r="B195" s="8" t="inlineStr">
        <is>
          <t>指定・状態</t>
        </is>
      </c>
      <c r="C195" s="8" t="inlineStr">
        <is>
          <t>反復・再利用</t>
        </is>
      </c>
      <c r="D195" s="9" t="inlineStr">
        <is>
          <t>準備済状態（準備カード）</t>
        </is>
      </c>
      <c r="E195" s="10" t="inlineStr">
        <is>
          <t>Prepared (preparation cards)</t>
        </is>
      </c>
      <c r="F195" s="7" t="inlineStr">
        <is>
          <t>722</t>
        </is>
      </c>
      <c r="G195" s="8" t="inlineStr">
        <is>
          <t>準備呪文を持つパーマネントの指定。準備済になると準備呪文のコピーが追放領域に作られ、唱えると未準備に戻る。</t>
        </is>
      </c>
      <c r="H195" s="8" t="inlineStr">
        <is>
          <t>ストリクスヘイヴンの秘密 (2026)</t>
        </is>
      </c>
      <c r="I195" s="8" t="inlineStr">
        <is>
          <t>ユニットが装填済みになると付属のスキルを1回撃てる仕組み。装填する効果を別カードに持たせると、ユニットと補助カードの組み合わせ価値が上がる。</t>
        </is>
      </c>
      <c r="J195" s="11" t="inlineStr">
        <is>
          <t>中</t>
        </is>
      </c>
      <c r="K195" s="8" t="inlineStr">
        <is>
          <t>ユニット・状態フラグ</t>
        </is>
      </c>
      <c r="L195" s="12" t="inlineStr">
        <is>
          <t>×</t>
        </is>
      </c>
      <c r="M195" s="13" t="inlineStr">
        <is>
          <t>準備呪文・追放領域からの使用が前提で重い</t>
        </is>
      </c>
    </row>
    <row r="196" ht="41.5" customHeight="1">
      <c r="A196" s="7" t="n">
        <v>195</v>
      </c>
      <c r="B196" s="8" t="inlineStr">
        <is>
          <t>指定・状態</t>
        </is>
      </c>
      <c r="C196" s="8" t="inlineStr">
        <is>
          <t>条件ボーナス</t>
        </is>
      </c>
      <c r="D196" s="9" t="inlineStr">
        <is>
          <t>不朽の物語</t>
        </is>
      </c>
      <c r="E196" s="10" t="inlineStr">
        <is>
          <t>Enduring story</t>
        </is>
      </c>
      <c r="F196" s="7" t="inlineStr">
        <is>
          <t>702.195</t>
        </is>
      </c>
      <c r="G196" s="8" t="inlineStr">
        <is>
          <t>物語りを持つパーマネントと伝説・英雄譚・アーティファクトを計3つ以上揃えると得る、ゲーム終了まで続く指定。</t>
        </is>
      </c>
      <c r="H196" s="8" t="inlineStr">
        <is>
          <t>ホビット (2026)</t>
        </is>
      </c>
      <c r="I196" s="8" t="inlineStr">
        <is>
          <t>一度達成したら永続する収集達成フラグ。条件に3種類のタグを混ぜられる点が柔軟で、テーマデッキの中盤の目標になる。</t>
        </is>
      </c>
      <c r="J196" s="11" t="inlineStr">
        <is>
          <t>高</t>
        </is>
      </c>
      <c r="K196" s="8" t="inlineStr">
        <is>
          <t>タグ・条件判定</t>
        </is>
      </c>
      <c r="L196" s="12" t="inlineStr">
        <is>
          <t>×</t>
        </is>
      </c>
      <c r="M196" s="13" t="inlineStr">
        <is>
          <t>タグの仕組みが無い。収集達成フラグは合わない</t>
        </is>
      </c>
    </row>
    <row r="197" ht="41.5" customHeight="1">
      <c r="A197" s="7" t="n">
        <v>196</v>
      </c>
      <c r="B197" s="8" t="inlineStr">
        <is>
          <t>指定・状態</t>
        </is>
      </c>
      <c r="C197" s="8" t="inlineStr">
        <is>
          <t>ルール基盤</t>
        </is>
      </c>
      <c r="D197" s="9" t="inlineStr">
        <is>
          <t>パーマネントの状態</t>
        </is>
      </c>
      <c r="E197" s="10" t="inlineStr">
        <is>
          <t>Status</t>
        </is>
      </c>
      <c r="F197" s="7" t="inlineStr">
        <is>
          <t>110.5</t>
        </is>
      </c>
      <c r="G197" s="8" t="inlineStr">
        <is>
          <t>タップ／アンタップ、反転、表向き／裏向き、フェイズ・イン／アウトの4種の状態。コピーでは写されない。</t>
        </is>
      </c>
      <c r="H197" s="8" t="inlineStr">
        <is>
          <t>アルファ (1993)</t>
        </is>
      </c>
      <c r="I197" s="8" t="inlineStr">
        <is>
          <t>カードが持つ状態フラグの一覧。状態を独立した項目で管理すれば、凍結・裏向き・一時離脱などのギミックを組み合わせて追加しやすい。</t>
        </is>
      </c>
      <c r="J197" s="11" t="inlineStr">
        <is>
          <t>高</t>
        </is>
      </c>
      <c r="K197" s="8" t="inlineStr">
        <is>
          <t>なし</t>
        </is>
      </c>
      <c r="L197" s="12" t="inlineStr">
        <is>
          <t>×</t>
        </is>
      </c>
      <c r="M197" s="13" t="inlineStr">
        <is>
          <t>ルール基盤（既に凍結などで管理）</t>
        </is>
      </c>
    </row>
    <row r="198" ht="45.5" customHeight="1">
      <c r="A198" s="7" t="n">
        <v>197</v>
      </c>
      <c r="B198" s="8" t="inlineStr">
        <is>
          <t>キーワード能力</t>
        </is>
      </c>
      <c r="C198" s="8" t="inlineStr">
        <is>
          <t>除去</t>
        </is>
      </c>
      <c r="D198" s="9" t="inlineStr">
        <is>
          <t>接死</t>
        </is>
      </c>
      <c r="E198" s="10" t="inlineStr">
        <is>
          <t>Deathtouch</t>
        </is>
      </c>
      <c r="F198" s="7" t="inlineStr">
        <is>
          <t>702.2</t>
        </is>
      </c>
      <c r="G198" s="8" t="inlineStr">
        <is>
          <t>これが与えたダメージを1点でも受けたクリーチャーは破壊される。小さな生物でも大型を相討ちにできる。</t>
        </is>
      </c>
      <c r="H198" s="8" t="inlineStr">
        <is>
          <t>未来予知 (2007)※類似能力はアルファ (1993)から</t>
        </is>
      </c>
      <c r="I198" s="8" t="inlineStr">
        <is>
          <t>このカードのダメージを1でも本体に受けた敵ユニットは即死。ボスには最大HPの一定割合ダメージに置換する。ブロック値で全部吸収されたら不発とし、駆け引きを作る。ポイントは高め。</t>
        </is>
      </c>
      <c r="J198" s="11" t="inlineStr">
        <is>
          <t>高</t>
        </is>
      </c>
      <c r="K198" s="8" t="inlineStr">
        <is>
          <t>なし</t>
        </is>
      </c>
      <c r="L198" s="12" t="inlineStr">
        <is>
          <t>◎</t>
        </is>
      </c>
      <c r="M198" s="13" t="inlineStr">
        <is>
          <t>【今回実装：接死】今回実装 キーワード『接死』deathtouch：攻撃・反撃・格闘でダメージを与えたモンスターを破壊</t>
        </is>
      </c>
    </row>
    <row r="199" ht="45.5" customHeight="1">
      <c r="A199" s="7" t="n">
        <v>198</v>
      </c>
      <c r="B199" s="8" t="inlineStr">
        <is>
          <t>キーワード能力</t>
        </is>
      </c>
      <c r="C199" s="8" t="inlineStr">
        <is>
          <t>防御</t>
        </is>
      </c>
      <c r="D199" s="9" t="inlineStr">
        <is>
          <t>防衛</t>
        </is>
      </c>
      <c r="E199" s="10" t="inlineStr">
        <is>
          <t>Defender</t>
        </is>
      </c>
      <c r="F199" s="7" t="inlineStr">
        <is>
          <t>702.3</t>
        </is>
      </c>
      <c r="G199" s="8" t="inlineStr">
        <is>
          <t>このクリーチャーは攻撃できない。壁など守りに特化した生物に付くデメリット能力。</t>
        </is>
      </c>
      <c r="H199" s="8" t="inlineStr">
        <is>
          <t>神河物語 (2004)※能力自体はアルファ (1993)の壁から</t>
        </is>
      </c>
      <c r="I199" s="8" t="inlineStr">
        <is>
          <t>攻撃不可の代わりにブロック値や耐久が高いユニットとして使う。デメリット能力を付けるとポイント予算が戻る仕組みの基準例にできる。</t>
        </is>
      </c>
      <c r="J199" s="11" t="inlineStr">
        <is>
          <t>高</t>
        </is>
      </c>
      <c r="K199" s="8" t="inlineStr">
        <is>
          <t>なし</t>
        </is>
      </c>
      <c r="L199" s="12" t="inlineStr">
        <is>
          <t>◎</t>
        </is>
      </c>
      <c r="M199" s="13" t="inlineStr">
        <is>
          <t>【今回実装：防衛】今回実装 デメリット『防衛』defender：このモンスターは攻撃できない</t>
        </is>
      </c>
    </row>
    <row r="200" ht="49.5" customHeight="1">
      <c r="A200" s="7" t="n">
        <v>199</v>
      </c>
      <c r="B200" s="8" t="inlineStr">
        <is>
          <t>キーワード能力</t>
        </is>
      </c>
      <c r="C200" s="8" t="inlineStr">
        <is>
          <t>攻撃</t>
        </is>
      </c>
      <c r="D200" s="9" t="inlineStr">
        <is>
          <t>二段攻撃</t>
        </is>
      </c>
      <c r="E200" s="10" t="inlineStr">
        <is>
          <t>Double strike</t>
        </is>
      </c>
      <c r="F200" s="7" t="inlineStr">
        <is>
          <t>702.4</t>
        </is>
      </c>
      <c r="G200" s="8" t="inlineStr">
        <is>
          <t>先制ダメージの段階と通常の段階の両方で戦闘ダメージを与え、合計2回殴る。</t>
        </is>
      </c>
      <c r="H200" s="8" t="inlineStr">
        <is>
          <t>レギオン (2003)</t>
        </is>
      </c>
      <c r="I200" s="8" t="inlineStr">
        <is>
          <t>攻撃カードのダメージ処理を2回行う。筋力のような加算バフが2回乗るので、ポイントはダメージ値の約2倍で見積もる。1回目でブロック値を削り2回目で本体に通す動きになる。</t>
        </is>
      </c>
      <c r="J200" s="11" t="inlineStr">
        <is>
          <t>高</t>
        </is>
      </c>
      <c r="K200" s="8" t="inlineStr">
        <is>
          <t>なし</t>
        </is>
      </c>
      <c r="L200" s="12" t="inlineStr">
        <is>
          <t>×</t>
        </is>
      </c>
      <c r="M200" s="13" t="inlineStr">
        <is>
          <t>既存：二回攻撃（doubleAttack）。先制段階が無いので差が出ない</t>
        </is>
      </c>
    </row>
    <row r="201" ht="37.5" customHeight="1">
      <c r="A201" s="7" t="n">
        <v>200</v>
      </c>
      <c r="B201" s="8" t="inlineStr">
        <is>
          <t>キーワード能力</t>
        </is>
      </c>
      <c r="C201" s="8" t="inlineStr">
        <is>
          <t>ルール基盤</t>
        </is>
      </c>
      <c r="D201" s="9" t="inlineStr">
        <is>
          <t>エンチャント</t>
        </is>
      </c>
      <c r="E201" s="10" t="inlineStr">
        <is>
          <t>Enchant</t>
        </is>
      </c>
      <c r="F201" s="7" t="inlineStr">
        <is>
          <t>702.5</t>
        </is>
      </c>
      <c r="G201" s="8" t="inlineStr">
        <is>
          <t>オーラがどんなものに付けられるかを定める能力。付け先は対象として選ばれ、条件を外れると墓地へ置かれる。</t>
        </is>
      </c>
      <c r="H201" s="8" t="inlineStr">
        <is>
          <t>第9版 (2005)※オーラ自体はアルファ (1993)から</t>
        </is>
      </c>
      <c r="I201" s="8" t="inlineStr">
        <is>
          <t>装着型カードの装着先指定。装着先が消えたら一緒に捨て札へ送る。敵に貼るデバフ版は呪いカードの一形態としても使える。</t>
        </is>
      </c>
      <c r="J201" s="11" t="inlineStr">
        <is>
          <t>中</t>
        </is>
      </c>
      <c r="K201" s="8" t="inlineStr">
        <is>
          <t>装着スロット</t>
        </is>
      </c>
      <c r="L201" s="12" t="inlineStr">
        <is>
          <t>◎</t>
        </is>
      </c>
      <c r="M201" s="13" t="inlineStr">
        <is>
          <t>【今回実装：キーワード付与】装着は作らず効果『キーワード付与』grantKeyword に吸収（#142）</t>
        </is>
      </c>
    </row>
    <row r="202" ht="37.5" customHeight="1">
      <c r="A202" s="7" t="n">
        <v>201</v>
      </c>
      <c r="B202" s="8" t="inlineStr">
        <is>
          <t>キーワード能力</t>
        </is>
      </c>
      <c r="C202" s="8" t="inlineStr">
        <is>
          <t>強化</t>
        </is>
      </c>
      <c r="D202" s="9" t="inlineStr">
        <is>
          <t>装備</t>
        </is>
      </c>
      <c r="E202" s="10" t="inlineStr">
        <is>
          <t>Equip</t>
        </is>
      </c>
      <c r="F202" s="7" t="inlineStr">
        <is>
          <t>702.6</t>
        </is>
      </c>
      <c r="G202" s="8" t="inlineStr">
        <is>
          <t>マナを払うと装備品を自軍クリーチャーに付けたり付け替えたりできる。ソーサリーのタイミングでのみ起動可能。</t>
        </is>
      </c>
      <c r="H202" s="8" t="inlineStr">
        <is>
          <t>ミラディン (2003)</t>
        </is>
      </c>
      <c r="I202" s="8" t="inlineStr">
        <is>
          <t>場に残る装備カードを、エネルギーを払って味方ユニットや自分に付け替える。付け替えコストと強化量を別々にポイントで買う方式にすると分かりやすい。</t>
        </is>
      </c>
      <c r="J202" s="11" t="inlineStr">
        <is>
          <t>中</t>
        </is>
      </c>
      <c r="K202" s="8" t="inlineStr">
        <is>
          <t>常駐カード枠</t>
        </is>
      </c>
      <c r="L202" s="12" t="inlineStr">
        <is>
          <t>△</t>
        </is>
      </c>
      <c r="M202" s="13" t="inlineStr">
        <is>
          <t>付け替え装備は重い。既存の攻撃力アップ・守備力アップ＋上記『キーワード付与』で代用</t>
        </is>
      </c>
    </row>
    <row r="203" ht="41.5" customHeight="1">
      <c r="A203" s="7" t="n">
        <v>202</v>
      </c>
      <c r="B203" s="8" t="inlineStr">
        <is>
          <t>キーワード能力</t>
        </is>
      </c>
      <c r="C203" s="8" t="inlineStr">
        <is>
          <t>攻撃</t>
        </is>
      </c>
      <c r="D203" s="9" t="inlineStr">
        <is>
          <t>先制攻撃</t>
        </is>
      </c>
      <c r="E203" s="10" t="inlineStr">
        <is>
          <t>First strike</t>
        </is>
      </c>
      <c r="F203" s="7" t="inlineStr">
        <is>
          <t>702.7</t>
        </is>
      </c>
      <c r="G203" s="8" t="inlineStr">
        <is>
          <t>通常より先に行われる戦闘ダメージ段階でダメージを与える。相手が殴り返す前に倒せれば一方的に勝てる。</t>
        </is>
      </c>
      <c r="H203" s="8" t="inlineStr">
        <is>
          <t>アルファ (1993)</t>
        </is>
      </c>
      <c r="I203" s="8" t="inlineStr">
        <is>
          <t>敵の行動より先にダメージを解決し、倒せば敵の反撃やトゲ系の反射を受けない。PvPで同時解決が起きた時の優先権フラグとしても使える。</t>
        </is>
      </c>
      <c r="J203" s="11" t="inlineStr">
        <is>
          <t>高</t>
        </is>
      </c>
      <c r="K203" s="8" t="inlineStr">
        <is>
          <t>なし</t>
        </is>
      </c>
      <c r="L203" s="12" t="inlineStr">
        <is>
          <t>◎</t>
        </is>
      </c>
      <c r="M203" s="13" t="inlineStr">
        <is>
          <t>【今回実装：先制攻撃】今回実装 キーワード『先制攻撃』firstStrike：攻撃で倒したら反撃を受けない</t>
        </is>
      </c>
    </row>
    <row r="204" ht="45.5" customHeight="1">
      <c r="A204" s="7" t="n">
        <v>203</v>
      </c>
      <c r="B204" s="8" t="inlineStr">
        <is>
          <t>キーワード能力</t>
        </is>
      </c>
      <c r="C204" s="8" t="inlineStr">
        <is>
          <t>妨害</t>
        </is>
      </c>
      <c r="D204" s="9" t="inlineStr">
        <is>
          <t>瞬速</t>
        </is>
      </c>
      <c r="E204" s="10" t="inlineStr">
        <is>
          <t>Flash</t>
        </is>
      </c>
      <c r="F204" s="7" t="inlineStr">
        <is>
          <t>702.8</t>
        </is>
      </c>
      <c r="G204" s="8" t="inlineStr">
        <is>
          <t>インスタントと同じく、いつでも唱えられる。相手のターン中に不意打ちで展開できる。</t>
        </is>
      </c>
      <c r="H204" s="8" t="inlineStr">
        <is>
          <t>時のらせん (2006)※能力自体はビジョンズ (1997)から</t>
        </is>
      </c>
      <c r="I204" s="8" t="inlineStr">
        <is>
          <t>相手ターン中に手札から使えるカード。オンライン対戦では相手の行動ごとに短い反応時間を設ける必要がある。ポイントは高めにし、使用時の追加エネルギーを要求する案もある。</t>
        </is>
      </c>
      <c r="J204" s="11" t="inlineStr">
        <is>
          <t>低</t>
        </is>
      </c>
      <c r="K204" s="8" t="inlineStr">
        <is>
          <t>割り込み処理</t>
        </is>
      </c>
      <c r="L204" s="12" t="inlineStr">
        <is>
          <t>×</t>
        </is>
      </c>
      <c r="M204" s="13" t="inlineStr">
        <is>
          <t>相手ターン中の割り込みが前提（スタック・インスタント無し）</t>
        </is>
      </c>
    </row>
    <row r="205" ht="37.5" customHeight="1">
      <c r="A205" s="7" t="n">
        <v>204</v>
      </c>
      <c r="B205" s="8" t="inlineStr">
        <is>
          <t>キーワード能力</t>
        </is>
      </c>
      <c r="C205" s="8" t="inlineStr">
        <is>
          <t>回避</t>
        </is>
      </c>
      <c r="D205" s="9" t="inlineStr">
        <is>
          <t>飛行</t>
        </is>
      </c>
      <c r="E205" s="10" t="inlineStr">
        <is>
          <t>Flying</t>
        </is>
      </c>
      <c r="F205" s="7" t="inlineStr">
        <is>
          <t>702.9</t>
        </is>
      </c>
      <c r="G205" s="8" t="inlineStr">
        <is>
          <t>飛行か到達を持つクリーチャーにしかブロックされない。最も基本的な回避能力。</t>
        </is>
      </c>
      <c r="H205" s="8" t="inlineStr">
        <is>
          <t>アルファ (1993)</t>
        </is>
      </c>
      <c r="I205" s="8" t="inlineStr">
        <is>
          <t>ブロック値を無視して本体に直接ダメージ。到達を持つ防御カードだけが防げるようにする。ダメージ量に比例した割増ポイントを課す。</t>
        </is>
      </c>
      <c r="J205" s="11" t="inlineStr">
        <is>
          <t>高</t>
        </is>
      </c>
      <c r="K205" s="8" t="inlineStr">
        <is>
          <t>ブロック値</t>
        </is>
      </c>
      <c r="L205" s="12" t="inlineStr">
        <is>
          <t>×</t>
        </is>
      </c>
      <c r="M205" s="13" t="inlineStr">
        <is>
          <t>既存：飛行</t>
        </is>
      </c>
    </row>
    <row r="206" ht="41.5" customHeight="1">
      <c r="A206" s="7" t="n">
        <v>205</v>
      </c>
      <c r="B206" s="8" t="inlineStr">
        <is>
          <t>キーワード能力</t>
        </is>
      </c>
      <c r="C206" s="8" t="inlineStr">
        <is>
          <t>攻撃</t>
        </is>
      </c>
      <c r="D206" s="9" t="inlineStr">
        <is>
          <t>速攻</t>
        </is>
      </c>
      <c r="E206" s="10" t="inlineStr">
        <is>
          <t>Haste</t>
        </is>
      </c>
      <c r="F206" s="7" t="inlineStr">
        <is>
          <t>702.10</t>
        </is>
      </c>
      <c r="G206" s="8" t="inlineStr">
        <is>
          <t>戦場に出たターンから攻撃やタップ能力を使え、召喚酔いの制限を受けない。</t>
        </is>
      </c>
      <c r="H206" s="8" t="inlineStr">
        <is>
          <t>第6版 (1999)※能力自体はアルファ (1993)から</t>
        </is>
      </c>
      <c r="I206" s="8" t="inlineStr">
        <is>
          <t>場に出すユニット型カードに準備ターンを設けるなら、出したターンから行動できるフラグ。準備ターンのない設計なら、置いた瞬間に1回効果が出る能力に置き換えられる。</t>
        </is>
      </c>
      <c r="J206" s="11" t="inlineStr">
        <is>
          <t>高</t>
        </is>
      </c>
      <c r="K206" s="8" t="inlineStr">
        <is>
          <t>常駐カード枠</t>
        </is>
      </c>
      <c r="L206" s="12" t="inlineStr">
        <is>
          <t>×</t>
        </is>
      </c>
      <c r="M206" s="13" t="inlineStr">
        <is>
          <t>既存：速攻</t>
        </is>
      </c>
    </row>
    <row r="207" ht="45.5" customHeight="1">
      <c r="A207" s="7" t="n">
        <v>206</v>
      </c>
      <c r="B207" s="8" t="inlineStr">
        <is>
          <t>キーワード能力</t>
        </is>
      </c>
      <c r="C207" s="8" t="inlineStr">
        <is>
          <t>防御</t>
        </is>
      </c>
      <c r="D207" s="9" t="inlineStr">
        <is>
          <t>呪禁</t>
        </is>
      </c>
      <c r="E207" s="10" t="inlineStr">
        <is>
          <t>Hexproof</t>
        </is>
      </c>
      <c r="F207" s="7" t="inlineStr">
        <is>
          <t>702.11</t>
        </is>
      </c>
      <c r="G207" s="8" t="inlineStr">
        <is>
          <t>対戦相手の呪文や能力の対象にならない。自分の呪文では対象にできる。</t>
        </is>
      </c>
      <c r="H207" s="8" t="inlineStr">
        <is>
          <t>統率者 (2011)※能力自体はポータル三国志 (1999)から</t>
        </is>
      </c>
      <c r="I207" s="8" t="inlineStr">
        <is>
          <t>相手の単体対象カード（デバフ・除去）の対象に選べないフラグ。全体効果は通る。PvPで大事な強化先を守る用途。ポイントは中程度。</t>
        </is>
      </c>
      <c r="J207" s="11" t="inlineStr">
        <is>
          <t>高</t>
        </is>
      </c>
      <c r="K207" s="8" t="inlineStr">
        <is>
          <t>対象指定</t>
        </is>
      </c>
      <c r="L207" s="12" t="inlineStr">
        <is>
          <t>◎</t>
        </is>
      </c>
      <c r="M207" s="13" t="inlineStr">
        <is>
          <t>【今回実装：呪禁】今回実装 キーワード『呪禁』hexproof：相手のカードの「選んだ1体」にならない</t>
        </is>
      </c>
    </row>
    <row r="208" ht="25" customHeight="1">
      <c r="A208" s="7" t="n">
        <v>207</v>
      </c>
      <c r="B208" s="8" t="inlineStr">
        <is>
          <t>キーワード能力</t>
        </is>
      </c>
      <c r="C208" s="8" t="inlineStr">
        <is>
          <t>防御</t>
        </is>
      </c>
      <c r="D208" s="9" t="inlineStr">
        <is>
          <t>～からの呪禁</t>
        </is>
      </c>
      <c r="E208" s="10" t="inlineStr">
        <is>
          <t>Hexproof from [quality]</t>
        </is>
      </c>
      <c r="F208" s="7" t="inlineStr">
        <is>
          <t>702.11d</t>
        </is>
      </c>
      <c r="G208" s="8" t="inlineStr">
        <is>
          <t>呪禁の限定版。指定の性質（色など）を持つ相手の呪文や能力の対象にだけならない。</t>
        </is>
      </c>
      <c r="H208" s="8" t="inlineStr">
        <is>
          <t>ドミナリア (2018)</t>
        </is>
      </c>
      <c r="I208" s="8" t="inlineStr">
        <is>
          <t>特定属性やカード種別からのみ対象にされない。範囲が狭い分ポイントを安くでき、メタに合わせたデッキ構築の調整弁になる。</t>
        </is>
      </c>
      <c r="J208" s="11" t="inlineStr">
        <is>
          <t>高</t>
        </is>
      </c>
      <c r="K208" s="8" t="inlineStr">
        <is>
          <t>カード属性</t>
        </is>
      </c>
      <c r="L208" s="12" t="inlineStr">
        <is>
          <t>×</t>
        </is>
      </c>
      <c r="M208" s="13" t="inlineStr">
        <is>
          <t>カード属性・色が無い。呪禁で十分</t>
        </is>
      </c>
    </row>
    <row r="209" ht="49.5" customHeight="1">
      <c r="A209" s="7" t="n">
        <v>208</v>
      </c>
      <c r="B209" s="8" t="inlineStr">
        <is>
          <t>キーワード能力</t>
        </is>
      </c>
      <c r="C209" s="8" t="inlineStr">
        <is>
          <t>防御</t>
        </is>
      </c>
      <c r="D209" s="9" t="inlineStr">
        <is>
          <t>破壊不能</t>
        </is>
      </c>
      <c r="E209" s="10" t="inlineStr">
        <is>
          <t>Indestructible</t>
        </is>
      </c>
      <c r="F209" s="7" t="inlineStr">
        <is>
          <t>702.12</t>
        </is>
      </c>
      <c r="G209" s="8" t="inlineStr">
        <is>
          <t>破壊されず、致死ダメージを受けても墓地に置かれない。追放・生け贄・タフネス0には対抗できない。</t>
        </is>
      </c>
      <c r="H209" s="8" t="inlineStr">
        <is>
          <t>ダークスティール (2004)※キーワード化は基本セット2014 (2013)</t>
        </is>
      </c>
      <c r="I209" s="10" t="inlineStr">
        <is>
          <t>HPが0になっても倒れない常駐カードやユニット。廃棄や最大HP減少など別ルートの除去を用意し、対策可能にしておく。ポイントは非常に高く設定する。</t>
        </is>
      </c>
      <c r="J209" s="11" t="inlineStr">
        <is>
          <t>高</t>
        </is>
      </c>
      <c r="K209" s="8" t="inlineStr">
        <is>
          <t>常駐カード枠</t>
        </is>
      </c>
      <c r="L209" s="12" t="inlineStr">
        <is>
          <t>△</t>
        </is>
      </c>
      <c r="M209" s="13" t="inlineStr">
        <is>
          <t>完全な破壊不能は強すぎ（既存：不屈が近い）。効果『守護』：次の自分ターン開始まで体力1未満にならない</t>
        </is>
      </c>
    </row>
    <row r="210" ht="25" customHeight="1">
      <c r="A210" s="7" t="n">
        <v>209</v>
      </c>
      <c r="B210" s="8" t="inlineStr">
        <is>
          <t>キーワード能力</t>
        </is>
      </c>
      <c r="C210" s="8" t="inlineStr">
        <is>
          <t>回避</t>
        </is>
      </c>
      <c r="D210" s="9" t="inlineStr">
        <is>
          <t>威嚇</t>
        </is>
      </c>
      <c r="E210" s="10" t="inlineStr">
        <is>
          <t>Intimidate</t>
        </is>
      </c>
      <c r="F210" s="7" t="inlineStr">
        <is>
          <t>702.13</t>
        </is>
      </c>
      <c r="G210" s="8" t="inlineStr">
        <is>
          <t>アーティファクト・クリーチャーか、これと色を共有するクリーチャーにしかブロックされない。</t>
        </is>
      </c>
      <c r="H210" s="8" t="inlineStr">
        <is>
          <t>ゼンディカー (2009)</t>
        </is>
      </c>
      <c r="I210" s="8" t="inlineStr">
        <is>
          <t>同じ属性を持つ防御カード以外ではブロックできない攻撃。属性システムを入れるなら、属性間の相性付き回避として使える。</t>
        </is>
      </c>
      <c r="J210" s="11" t="inlineStr">
        <is>
          <t>高</t>
        </is>
      </c>
      <c r="K210" s="8" t="inlineStr">
        <is>
          <t>カード属性</t>
        </is>
      </c>
      <c r="L210" s="12" t="inlineStr">
        <is>
          <t>×</t>
        </is>
      </c>
      <c r="M210" s="13" t="inlineStr">
        <is>
          <t>色・ブロックが前提</t>
        </is>
      </c>
    </row>
    <row r="211" ht="41.5" customHeight="1">
      <c r="A211" s="7" t="n">
        <v>210</v>
      </c>
      <c r="B211" s="8" t="inlineStr">
        <is>
          <t>キーワード能力</t>
        </is>
      </c>
      <c r="C211" s="8" t="inlineStr">
        <is>
          <t>回避</t>
        </is>
      </c>
      <c r="D211" s="9" t="inlineStr">
        <is>
          <t>土地渡り（島渡り・沼渡りなど各種）</t>
        </is>
      </c>
      <c r="E211" s="10" t="inlineStr">
        <is>
          <t>Landwalk (Islandwalk, Swampwalk ほか)</t>
        </is>
      </c>
      <c r="F211" s="7" t="inlineStr">
        <is>
          <t>702.14</t>
        </is>
      </c>
      <c r="G211" s="8" t="inlineStr">
        <is>
          <t>防御側が指定の土地（基本土地タイプ、基本でない土地、砂漠など）をコントロールしていればブロックされない。</t>
        </is>
      </c>
      <c r="H211" s="8" t="inlineStr">
        <is>
          <t>アルファ (1993)</t>
        </is>
      </c>
      <c r="I211" s="8" t="inlineStr">
        <is>
          <t>相手が特定属性のカードを場や山札に持つ時だけブロック不可になる。相手のデッキ構成に依存する対策カードで、PvPのメタ読み要素になる。条件付きなのでポイントは割り引く。</t>
        </is>
      </c>
      <c r="J211" s="11" t="inlineStr">
        <is>
          <t>高</t>
        </is>
      </c>
      <c r="K211" s="8" t="inlineStr">
        <is>
          <t>カード属性</t>
        </is>
      </c>
      <c r="L211" s="12" t="inlineStr">
        <is>
          <t>×</t>
        </is>
      </c>
      <c r="M211" s="13" t="inlineStr">
        <is>
          <t>土地が前提</t>
        </is>
      </c>
    </row>
    <row r="212" ht="45.5" customHeight="1">
      <c r="A212" s="7" t="n">
        <v>211</v>
      </c>
      <c r="B212" s="8" t="inlineStr">
        <is>
          <t>キーワード能力</t>
        </is>
      </c>
      <c r="C212" s="8" t="inlineStr">
        <is>
          <t>防御</t>
        </is>
      </c>
      <c r="D212" s="9" t="inlineStr">
        <is>
          <t>絆魂</t>
        </is>
      </c>
      <c r="E212" s="10" t="inlineStr">
        <is>
          <t>Lifelink</t>
        </is>
      </c>
      <c r="F212" s="7" t="inlineStr">
        <is>
          <t>702.15</t>
        </is>
      </c>
      <c r="G212" s="8" t="inlineStr">
        <is>
          <t>これが与えたダメージと同じ点数のライフを、そのコントローラーが得る。</t>
        </is>
      </c>
      <c r="H212" s="8" t="inlineStr">
        <is>
          <t>未来予知 (2007)※能力自体はアラビアンナイト (1993)から</t>
        </is>
      </c>
      <c r="I212" s="8" t="inlineStr">
        <is>
          <t>与えたダメージ分だけHPを回復する吸血効果。ブロックに吸収された分は回復しないなど条件を明確にする。試合が長引きやすいので、ポイント高めか1ターンの回復上限を付ける。</t>
        </is>
      </c>
      <c r="J212" s="11" t="inlineStr">
        <is>
          <t>高</t>
        </is>
      </c>
      <c r="K212" s="8" t="inlineStr">
        <is>
          <t>なし</t>
        </is>
      </c>
      <c r="L212" s="12" t="inlineStr">
        <is>
          <t>◎</t>
        </is>
      </c>
      <c r="M212" s="13" t="inlineStr">
        <is>
          <t>【今回実装：絆魂】今回実装 キーワード『絆魂』lifelink：攻撃・反撃・格闘で与えたぶん自分のHP回復</t>
        </is>
      </c>
    </row>
    <row r="213" ht="41.5" customHeight="1">
      <c r="A213" s="7" t="n">
        <v>212</v>
      </c>
      <c r="B213" s="8" t="inlineStr">
        <is>
          <t>キーワード能力</t>
        </is>
      </c>
      <c r="C213" s="8" t="inlineStr">
        <is>
          <t>防御</t>
        </is>
      </c>
      <c r="D213" s="9" t="inlineStr">
        <is>
          <t>プロテクション</t>
        </is>
      </c>
      <c r="E213" s="10" t="inlineStr">
        <is>
          <t>Protection</t>
        </is>
      </c>
      <c r="F213" s="7" t="inlineStr">
        <is>
          <t>702.16</t>
        </is>
      </c>
      <c r="G213" s="8" t="inlineStr">
        <is>
          <t>指定の性質を持つものからのダメージ・エンチャント/装備・ブロック・対象化をまとめて防ぐ。全てからのプロテクションなど変種あり。</t>
        </is>
      </c>
      <c r="H213" s="8" t="inlineStr">
        <is>
          <t>アルファ (1993)</t>
        </is>
      </c>
      <c r="I213" s="8" t="inlineStr">
        <is>
          <t>特定属性からのダメージ無効、対象不可、装着不可を一括付与する。ターン限定のバフカードにすると扱いやすい。複数の効果を束ねるのでポイントは高め。</t>
        </is>
      </c>
      <c r="J213" s="11" t="inlineStr">
        <is>
          <t>中</t>
        </is>
      </c>
      <c r="K213" s="8" t="inlineStr">
        <is>
          <t>カード属性</t>
        </is>
      </c>
      <c r="L213" s="12" t="inlineStr">
        <is>
          <t>△</t>
        </is>
      </c>
      <c r="M213" s="13" t="inlineStr">
        <is>
          <t>属性が無い。効果『加護』：自分のモンスター1体が次の自分ターン開始までダメージを受けない、に変形</t>
        </is>
      </c>
    </row>
    <row r="214" ht="37.5" customHeight="1">
      <c r="A214" s="7" t="n">
        <v>213</v>
      </c>
      <c r="B214" s="8" t="inlineStr">
        <is>
          <t>キーワード能力</t>
        </is>
      </c>
      <c r="C214" s="8" t="inlineStr">
        <is>
          <t>防御</t>
        </is>
      </c>
      <c r="D214" s="9" t="inlineStr">
        <is>
          <t>到達</t>
        </is>
      </c>
      <c r="E214" s="10" t="inlineStr">
        <is>
          <t>Reach</t>
        </is>
      </c>
      <c r="F214" s="7" t="inlineStr">
        <is>
          <t>702.17</t>
        </is>
      </c>
      <c r="G214" s="8" t="inlineStr">
        <is>
          <t>飛行を持つクリーチャーをブロックできる。飛行への対抗手段。</t>
        </is>
      </c>
      <c r="H214" s="8" t="inlineStr">
        <is>
          <t>未来予知 (2007)※能力自体はアルファ (1993)から</t>
        </is>
      </c>
      <c r="I214" s="8" t="inlineStr">
        <is>
          <t>飛行のようなブロック無視攻撃も防げる防御カード。回避能力を導入するなら対になる対策として必ず用意し、ポイントは安めにする。</t>
        </is>
      </c>
      <c r="J214" s="11" t="inlineStr">
        <is>
          <t>高</t>
        </is>
      </c>
      <c r="K214" s="8" t="inlineStr">
        <is>
          <t>ブロック値</t>
        </is>
      </c>
      <c r="L214" s="12" t="inlineStr">
        <is>
          <t>△</t>
        </is>
      </c>
      <c r="M214" s="13" t="inlineStr">
        <is>
          <t>ブロック無し。飛行実装済みなので『対空』：挑発持ちなら飛行の攻撃も止める、として小キーワード化</t>
        </is>
      </c>
    </row>
    <row r="215" ht="45.5" customHeight="1">
      <c r="A215" s="7" t="n">
        <v>214</v>
      </c>
      <c r="B215" s="8" t="inlineStr">
        <is>
          <t>キーワード能力</t>
        </is>
      </c>
      <c r="C215" s="8" t="inlineStr">
        <is>
          <t>防御</t>
        </is>
      </c>
      <c r="D215" s="9" t="inlineStr">
        <is>
          <t>被覆</t>
        </is>
      </c>
      <c r="E215" s="10" t="inlineStr">
        <is>
          <t>Shroud</t>
        </is>
      </c>
      <c r="F215" s="7" t="inlineStr">
        <is>
          <t>702.18</t>
        </is>
      </c>
      <c r="G215" s="8" t="inlineStr">
        <is>
          <t>どの呪文や能力の対象にもならない。自分の強化も対象にできない点で呪禁と異なる。</t>
        </is>
      </c>
      <c r="H215" s="8" t="inlineStr">
        <is>
          <t>未来予知 (2007)※能力自体はレジェンド (1994)から</t>
        </is>
      </c>
      <c r="I215" s="8" t="inlineStr">
        <is>
          <t>敵味方を問わず単体対象にならない。自分のバフも乗らない欠点があるので呪禁より安価にする。対象可否を内部フラグで持つだけで実装できる。</t>
        </is>
      </c>
      <c r="J215" s="11" t="inlineStr">
        <is>
          <t>高</t>
        </is>
      </c>
      <c r="K215" s="8" t="inlineStr">
        <is>
          <t>対象指定</t>
        </is>
      </c>
      <c r="L215" s="12" t="inlineStr">
        <is>
          <t>×</t>
        </is>
      </c>
      <c r="M215" s="13" t="inlineStr">
        <is>
          <t>呪禁で十分（自分の強化も乗らない劣化版は選ぶ理由が薄い）</t>
        </is>
      </c>
    </row>
    <row r="216" ht="41.5" customHeight="1">
      <c r="A216" s="7" t="n">
        <v>215</v>
      </c>
      <c r="B216" s="8" t="inlineStr">
        <is>
          <t>キーワード能力</t>
        </is>
      </c>
      <c r="C216" s="8" t="inlineStr">
        <is>
          <t>攻撃</t>
        </is>
      </c>
      <c r="D216" s="9" t="inlineStr">
        <is>
          <t>トランプル</t>
        </is>
      </c>
      <c r="E216" s="10" t="inlineStr">
        <is>
          <t>Trample</t>
        </is>
      </c>
      <c r="F216" s="7" t="inlineStr">
        <is>
          <t>702.19</t>
        </is>
      </c>
      <c r="G216" s="8" t="inlineStr">
        <is>
          <t>ブロッカーに致死分のダメージを割り振れば、余りを防御側プレイヤーに与えられる。</t>
        </is>
      </c>
      <c r="H216" s="8" t="inlineStr">
        <is>
          <t>アルファ (1993)</t>
        </is>
      </c>
      <c r="I216" s="8" t="inlineStr">
        <is>
          <t>敵の盾役ユニットやかばう効果に止められても、余剰ダメージを本体HPへ貫通させる。ブロック値が元々貫通する設計なら、護衛やシールド制を入れる場合に有効。</t>
        </is>
      </c>
      <c r="J216" s="11" t="inlineStr">
        <is>
          <t>高</t>
        </is>
      </c>
      <c r="K216" s="8" t="inlineStr">
        <is>
          <t>ブロック値</t>
        </is>
      </c>
      <c r="L216" s="12" t="inlineStr">
        <is>
          <t>×</t>
        </is>
      </c>
      <c r="M216" s="13" t="inlineStr">
        <is>
          <t>既存：貫通</t>
        </is>
      </c>
    </row>
    <row r="217" ht="37.5" customHeight="1">
      <c r="A217" s="7" t="n">
        <v>216</v>
      </c>
      <c r="B217" s="8" t="inlineStr">
        <is>
          <t>キーワード能力</t>
        </is>
      </c>
      <c r="C217" s="8" t="inlineStr">
        <is>
          <t>攻撃</t>
        </is>
      </c>
      <c r="D217" s="9" t="inlineStr">
        <is>
          <t>プレインズウォーカー越えトランプル</t>
        </is>
      </c>
      <c r="E217" s="10" t="inlineStr">
        <is>
          <t>Trample over planeswalkers</t>
        </is>
      </c>
      <c r="F217" s="7" t="inlineStr">
        <is>
          <t>702.19c</t>
        </is>
      </c>
      <c r="G217" s="8" t="inlineStr">
        <is>
          <t>トランプルの変種。プレインズウォーカーやバトルを攻撃して余ったダメージを、そのコントローラーにも与えられる。</t>
        </is>
      </c>
      <c r="H217" s="8" t="inlineStr">
        <is>
          <t>モダンホライゾン2 (2021)</t>
        </is>
      </c>
      <c r="I217" s="8" t="inlineStr">
        <is>
          <t>召喚物や護衛ユニットを狙った攻撃で余ったダメージを、さらに持ち主本体へ流す。二段の貫通なので上位レアリティ向け。</t>
        </is>
      </c>
      <c r="J217" s="11" t="inlineStr">
        <is>
          <t>中</t>
        </is>
      </c>
      <c r="K217" s="8" t="inlineStr">
        <is>
          <t>ユニット・護衛</t>
        </is>
      </c>
      <c r="L217" s="12" t="inlineStr">
        <is>
          <t>×</t>
        </is>
      </c>
      <c r="M217" s="13" t="inlineStr">
        <is>
          <t>プレインズウォーカー無し。既存：貫通</t>
        </is>
      </c>
    </row>
    <row r="218" ht="37.5" customHeight="1">
      <c r="A218" s="7" t="n">
        <v>217</v>
      </c>
      <c r="B218" s="8" t="inlineStr">
        <is>
          <t>キーワード能力</t>
        </is>
      </c>
      <c r="C218" s="8" t="inlineStr">
        <is>
          <t>防御</t>
        </is>
      </c>
      <c r="D218" s="9" t="inlineStr">
        <is>
          <t>警戒</t>
        </is>
      </c>
      <c r="E218" s="10" t="inlineStr">
        <is>
          <t>Vigilance</t>
        </is>
      </c>
      <c r="F218" s="7" t="inlineStr">
        <is>
          <t>702.20</t>
        </is>
      </c>
      <c r="G218" s="8" t="inlineStr">
        <is>
          <t>攻撃してもタップしないので、攻撃した後もブロックや能力の起動に使える。</t>
        </is>
      </c>
      <c r="H218" s="8" t="inlineStr">
        <is>
          <t>神河物語 (2004)※能力自体はアルファ (1993)から</t>
        </is>
      </c>
      <c r="I218" s="8" t="inlineStr">
        <is>
          <t>攻撃カードを使ってもそのターンのブロック値が減らない、または攻撃後にもブロック値を得る。攻防兼用なのでポイントは中程度。</t>
        </is>
      </c>
      <c r="J218" s="11" t="inlineStr">
        <is>
          <t>高</t>
        </is>
      </c>
      <c r="K218" s="8" t="inlineStr">
        <is>
          <t>ブロック値</t>
        </is>
      </c>
      <c r="L218" s="12" t="inlineStr">
        <is>
          <t>×</t>
        </is>
      </c>
      <c r="M218" s="13" t="inlineStr">
        <is>
          <t>タップ・ブロックが無く、反撃は常に起きるので意味がない</t>
        </is>
      </c>
    </row>
    <row r="219" ht="41.5" customHeight="1">
      <c r="A219" s="7" t="n">
        <v>218</v>
      </c>
      <c r="B219" s="8" t="inlineStr">
        <is>
          <t>キーワード能力</t>
        </is>
      </c>
      <c r="C219" s="8" t="inlineStr">
        <is>
          <t>妨害</t>
        </is>
      </c>
      <c r="D219" s="9" t="inlineStr">
        <is>
          <t>護法</t>
        </is>
      </c>
      <c r="E219" s="10" t="inlineStr">
        <is>
          <t>Ward</t>
        </is>
      </c>
      <c r="F219" s="7" t="inlineStr">
        <is>
          <t>702.21</t>
        </is>
      </c>
      <c r="G219" s="8" t="inlineStr">
        <is>
          <t>相手の呪文や能力の対象になった時、指定のコストを払わない限りそれを打ち消す。</t>
        </is>
      </c>
      <c r="H219" s="8" t="inlineStr">
        <is>
          <t>ストリクスヘイヴン：魔法学院 (2021)</t>
        </is>
      </c>
      <c r="I219" s="8" t="inlineStr">
        <is>
          <t>相手がこのカードやユニットを単体対象にする時、追加エネルギー・HP・手札1枚などを払わないと不発になる。税の種類と量でポイントを細かく調整できる。</t>
        </is>
      </c>
      <c r="J219" s="11" t="inlineStr">
        <is>
          <t>中</t>
        </is>
      </c>
      <c r="K219" s="8" t="inlineStr">
        <is>
          <t>対象指定</t>
        </is>
      </c>
      <c r="L219" s="12" t="inlineStr">
        <is>
          <t>◎</t>
        </is>
      </c>
      <c r="M219" s="13" t="inlineStr">
        <is>
          <t>【今回実装：キーワード『護法』（`ward`・バッチB）】（審査時は○）次回：キーワード『護法』（対象にするとコスト+1）。対象で変わるコストはドラッグ操作の改修後に</t>
        </is>
      </c>
    </row>
    <row r="220" ht="45.5" customHeight="1">
      <c r="A220" s="7" t="n">
        <v>219</v>
      </c>
      <c r="B220" s="8" t="inlineStr">
        <is>
          <t>キーワード能力</t>
        </is>
      </c>
      <c r="C220" s="8" t="inlineStr">
        <is>
          <t>防御</t>
        </is>
      </c>
      <c r="D220" s="9" t="inlineStr">
        <is>
          <t>バンド</t>
        </is>
      </c>
      <c r="E220" s="10" t="inlineStr">
        <is>
          <t>Banding</t>
        </is>
      </c>
      <c r="F220" s="7" t="inlineStr">
        <is>
          <t>702.22</t>
        </is>
      </c>
      <c r="G220" s="8" t="inlineStr">
        <is>
          <t>バンド持ちと他の生物がまとまって攻撃でき、1体がブロックされれば全員ブロック扱い。被ダメージの割り振りも自分で決める。</t>
        </is>
      </c>
      <c r="H220" s="8" t="inlineStr">
        <is>
          <t>アルファ (1993)</t>
        </is>
      </c>
      <c r="I220" s="8" t="inlineStr">
        <is>
          <t>複数ユニットを1グループで行動させ、受けたダメージを持ち主が自由に割り振る。分配UIが重いので、現代的には被ダメージを味方間で再分配する能力として作り直すとよい。</t>
        </is>
      </c>
      <c r="J220" s="11" t="inlineStr">
        <is>
          <t>低</t>
        </is>
      </c>
      <c r="K220" s="8" t="inlineStr">
        <is>
          <t>複数ユニット戦闘</t>
        </is>
      </c>
      <c r="L220" s="12" t="inlineStr">
        <is>
          <t>×</t>
        </is>
      </c>
      <c r="M220" s="13" t="inlineStr">
        <is>
          <t>複数体での攻撃とダメージ割り振りが前提で重い</t>
        </is>
      </c>
    </row>
    <row r="221" ht="25" customHeight="1">
      <c r="A221" s="7" t="n">
        <v>220</v>
      </c>
      <c r="B221" s="8" t="inlineStr">
        <is>
          <t>キーワード能力</t>
        </is>
      </c>
      <c r="C221" s="8" t="inlineStr">
        <is>
          <t>防御</t>
        </is>
      </c>
      <c r="D221" s="9" t="inlineStr">
        <is>
          <t>他の～とのバンド</t>
        </is>
      </c>
      <c r="E221" s="10" t="inlineStr">
        <is>
          <t>Bands with other</t>
        </is>
      </c>
      <c r="F221" s="7" t="inlineStr">
        <is>
          <t>702.22b</t>
        </is>
      </c>
      <c r="G221" s="8" t="inlineStr">
        <is>
          <t>バンドの限定版。指定の種類を持つクリーチャー同士でだけバンドを組める。</t>
        </is>
      </c>
      <c r="H221" s="8" t="inlineStr">
        <is>
          <t>レジェンド (1994)</t>
        </is>
      </c>
      <c r="I221" s="8" t="inlineStr">
        <is>
          <t>同じタグ（種族や属性）のカード同士でだけグループを組める限定版。部族デッキを組む誘導になる。</t>
        </is>
      </c>
      <c r="J221" s="11" t="inlineStr">
        <is>
          <t>低</t>
        </is>
      </c>
      <c r="K221" s="8" t="inlineStr">
        <is>
          <t>複数ユニット戦闘</t>
        </is>
      </c>
      <c r="L221" s="12" t="inlineStr">
        <is>
          <t>×</t>
        </is>
      </c>
      <c r="M221" s="13" t="inlineStr">
        <is>
          <t>バンドと同じ理由＋種族タグ無し</t>
        </is>
      </c>
    </row>
    <row r="222" ht="33" customHeight="1">
      <c r="A222" s="7" t="n">
        <v>221</v>
      </c>
      <c r="B222" s="8" t="inlineStr">
        <is>
          <t>キーワード能力</t>
        </is>
      </c>
      <c r="C222" s="8" t="inlineStr">
        <is>
          <t>条件ボーナス</t>
        </is>
      </c>
      <c r="D222" s="9" t="inlineStr">
        <is>
          <t>ランページ</t>
        </is>
      </c>
      <c r="E222" s="10" t="inlineStr">
        <is>
          <t>Rampage</t>
        </is>
      </c>
      <c r="F222" s="7" t="inlineStr">
        <is>
          <t>702.23</t>
        </is>
      </c>
      <c r="G222" s="8" t="inlineStr">
        <is>
          <t>ブロックしたクリーチャーが1体を超えるごとに、ターン終了時まで指定値だけ強くなる。</t>
        </is>
      </c>
      <c r="H222" s="8" t="inlineStr">
        <is>
          <t>レジェンド (1994)</t>
        </is>
      </c>
      <c r="I222" s="8" t="inlineStr">
        <is>
          <t>敵の数が1体を超える分だけ攻撃力が上がる。雑魚を大量に出すCPU戦で輝く条件ボーナスで、実装も数値計算だけで済む。</t>
        </is>
      </c>
      <c r="J222" s="11" t="inlineStr">
        <is>
          <t>高</t>
        </is>
      </c>
      <c r="K222" s="8" t="inlineStr">
        <is>
          <t>なし</t>
        </is>
      </c>
      <c r="L222" s="12" t="inlineStr">
        <is>
          <t>◎</t>
        </is>
      </c>
      <c r="M222" s="13" t="inlineStr">
        <is>
          <t>【今回実装：相手モンスター1体につき】今回実装 修飾『相手モンスター1体につき』perEnemyMonster（最大3体）</t>
        </is>
      </c>
    </row>
    <row r="223" ht="41.5" customHeight="1">
      <c r="A223" s="7" t="n">
        <v>222</v>
      </c>
      <c r="B223" s="8" t="inlineStr">
        <is>
          <t>キーワード能力</t>
        </is>
      </c>
      <c r="C223" s="8" t="inlineStr">
        <is>
          <t>コスト・リソース</t>
        </is>
      </c>
      <c r="D223" s="9" t="inlineStr">
        <is>
          <t>累加アップキープ</t>
        </is>
      </c>
      <c r="E223" s="10" t="inlineStr">
        <is>
          <t>Cumulative upkeep</t>
        </is>
      </c>
      <c r="F223" s="7" t="inlineStr">
        <is>
          <t>702.24</t>
        </is>
      </c>
      <c r="G223" s="8" t="inlineStr">
        <is>
          <t>毎アップキープに経年カウンターを置き、その数に応じたコストを払う。払わなければ生け贄になる。</t>
        </is>
      </c>
      <c r="H223" s="8" t="inlineStr">
        <is>
          <t>アイスエイジ (1995)</t>
        </is>
      </c>
      <c r="I223" s="8" t="inlineStr">
        <is>
          <t>常駐パワーの維持費が毎ターン1ずつ増え、払えなければ廃棄。強い効果を短期で使い切らせる設計で、設置コストを安くできる。</t>
        </is>
      </c>
      <c r="J223" s="11" t="inlineStr">
        <is>
          <t>中</t>
        </is>
      </c>
      <c r="K223" s="8" t="inlineStr">
        <is>
          <t>常駐カード枠</t>
        </is>
      </c>
      <c r="L223" s="12" t="inlineStr">
        <is>
          <t>△</t>
        </is>
      </c>
      <c r="M223" s="13" t="inlineStr">
        <is>
          <t>パワー用デメリット『累加維持費』：ターン開始時の自傷が毎ターン増える（upkeepの拡張）</t>
        </is>
      </c>
    </row>
    <row r="224" ht="41.5" customHeight="1">
      <c r="A224" s="7" t="n">
        <v>223</v>
      </c>
      <c r="B224" s="8" t="inlineStr">
        <is>
          <t>キーワード能力</t>
        </is>
      </c>
      <c r="C224" s="8" t="inlineStr">
        <is>
          <t>攻撃</t>
        </is>
      </c>
      <c r="D224" s="9" t="inlineStr">
        <is>
          <t>側面攻撃</t>
        </is>
      </c>
      <c r="E224" s="10" t="inlineStr">
        <is>
          <t>Flanking</t>
        </is>
      </c>
      <c r="F224" s="7" t="inlineStr">
        <is>
          <t>702.25</t>
        </is>
      </c>
      <c r="G224" s="8" t="inlineStr">
        <is>
          <t>側面攻撃を持たないクリーチャーにブロックされると、そのブロッカーはターン終了時まで-1/-1を受ける。</t>
        </is>
      </c>
      <c r="H224" s="8" t="inlineStr">
        <is>
          <t>ミラージュ (1996)</t>
        </is>
      </c>
      <c r="I224" s="8" t="inlineStr">
        <is>
          <t>この攻撃を防いだ相手の防御カードやユニットを弱らせる（次のブロック値-1など）。守り主体の相手へのカウンター手段。</t>
        </is>
      </c>
      <c r="J224" s="11" t="inlineStr">
        <is>
          <t>高</t>
        </is>
      </c>
      <c r="K224" s="8" t="inlineStr">
        <is>
          <t>ブロック値</t>
        </is>
      </c>
      <c r="L224" s="12" t="inlineStr">
        <is>
          <t>×</t>
        </is>
      </c>
      <c r="M224" s="13" t="inlineStr">
        <is>
          <t>既存：攻撃するたび＋弱化（攻撃したモンスター）で作れる</t>
        </is>
      </c>
    </row>
    <row r="225" ht="41.5" customHeight="1">
      <c r="A225" s="7" t="n">
        <v>224</v>
      </c>
      <c r="B225" s="8" t="inlineStr">
        <is>
          <t>キーワード能力</t>
        </is>
      </c>
      <c r="C225" s="8" t="inlineStr">
        <is>
          <t>防御</t>
        </is>
      </c>
      <c r="D225" s="9" t="inlineStr">
        <is>
          <t>フェイジング</t>
        </is>
      </c>
      <c r="E225" s="10" t="inlineStr">
        <is>
          <t>Phasing</t>
        </is>
      </c>
      <c r="F225" s="7" t="inlineStr">
        <is>
          <t>702.26</t>
        </is>
      </c>
      <c r="G225" s="8" t="inlineStr">
        <is>
          <t>毎ターン、自分のアンタップの前に場から外れたり戻ったりを繰り返し、外れている間は存在しない扱いになる。</t>
        </is>
      </c>
      <c r="H225" s="8" t="inlineStr">
        <is>
          <t>ミラージュ (1996)</t>
        </is>
      </c>
      <c r="I225" s="10" t="inlineStr">
        <is>
          <t>1ターンおきに場から消え、消えている間は対象にも攻撃にも関わらない常駐カード。強い効果を隔ターン稼働にして安く作るデメリット枠になる。</t>
        </is>
      </c>
      <c r="J225" s="11" t="inlineStr">
        <is>
          <t>中</t>
        </is>
      </c>
      <c r="K225" s="8" t="inlineStr">
        <is>
          <t>常駐カード枠</t>
        </is>
      </c>
      <c r="L225" s="12" t="inlineStr">
        <is>
          <t>△</t>
        </is>
      </c>
      <c r="M225" s="13" t="inlineStr">
        <is>
          <t>デメリット『隔ターン』：パワー/モンスターが1ターンおきにしか働かない。管理が面倒なので保留</t>
        </is>
      </c>
    </row>
    <row r="226" ht="45.5" customHeight="1">
      <c r="A226" s="7" t="n">
        <v>225</v>
      </c>
      <c r="B226" s="8" t="inlineStr">
        <is>
          <t>キーワード能力</t>
        </is>
      </c>
      <c r="C226" s="8" t="inlineStr">
        <is>
          <t>反復・再利用</t>
        </is>
      </c>
      <c r="D226" s="9" t="inlineStr">
        <is>
          <t>バイバック</t>
        </is>
      </c>
      <c r="E226" s="10" t="inlineStr">
        <is>
          <t>Buyback</t>
        </is>
      </c>
      <c r="F226" s="7" t="inlineStr">
        <is>
          <t>702.27</t>
        </is>
      </c>
      <c r="G226" s="8" t="inlineStr">
        <is>
          <t>追加コストを払って唱えると、解決後に墓地ではなく手札に戻る。</t>
        </is>
      </c>
      <c r="H226" s="8" t="inlineStr">
        <is>
          <t>テンペスト (1997)</t>
        </is>
      </c>
      <c r="I226" s="8" t="inlineStr">
        <is>
          <t>追加エネルギーを払えば、使用後に捨て札でなく手札に戻る。毎ターン撃てるのでループ防止として追加コストを重くするか、1ターン1回制限を付ける。</t>
        </is>
      </c>
      <c r="J226" s="11" t="inlineStr">
        <is>
          <t>高</t>
        </is>
      </c>
      <c r="K226" s="8" t="inlineStr">
        <is>
          <t>エネルギー</t>
        </is>
      </c>
      <c r="L226" s="12" t="inlineStr">
        <is>
          <t>◎</t>
        </is>
      </c>
      <c r="M226" s="13" t="inlineStr">
        <is>
          <t>【今回実装：カードの能力『再利用』（`buyback`・バッチB）】（審査時は○）キーワード『再利用』：使用後に手札へ戻る（1ターン1回）。エナジーで制限。基礎pt×0.8上乗せ</t>
        </is>
      </c>
    </row>
    <row r="227" ht="37.5" customHeight="1">
      <c r="A227" s="7" t="n">
        <v>226</v>
      </c>
      <c r="B227" s="8" t="inlineStr">
        <is>
          <t>キーワード能力</t>
        </is>
      </c>
      <c r="C227" s="8" t="inlineStr">
        <is>
          <t>回避</t>
        </is>
      </c>
      <c r="D227" s="9" t="inlineStr">
        <is>
          <t>シャドー</t>
        </is>
      </c>
      <c r="E227" s="10" t="inlineStr">
        <is>
          <t>Shadow</t>
        </is>
      </c>
      <c r="F227" s="7" t="inlineStr">
        <is>
          <t>702.28</t>
        </is>
      </c>
      <c r="G227" s="8" t="inlineStr">
        <is>
          <t>シャドー持ち同士でしかブロックし合えない。相手の攻撃も止められない一方通行の回避。</t>
        </is>
      </c>
      <c r="H227" s="8" t="inlineStr">
        <is>
          <t>テンペスト (1997)</t>
        </is>
      </c>
      <c r="I227" s="8" t="inlineStr">
        <is>
          <t>同じ影フラグを持つカードとしか攻防が成立しない。ブロック無視になる代わりに自分も相手の攻撃を防げず、殴り合いを加速させる尖った能力。</t>
        </is>
      </c>
      <c r="J227" s="11" t="inlineStr">
        <is>
          <t>高</t>
        </is>
      </c>
      <c r="K227" s="8" t="inlineStr">
        <is>
          <t>ブロック値</t>
        </is>
      </c>
      <c r="L227" s="12" t="inlineStr">
        <is>
          <t>×</t>
        </is>
      </c>
      <c r="M227" s="13" t="inlineStr">
        <is>
          <t>ブロック無し。既存：隠密・飛行で回避は足りている</t>
        </is>
      </c>
    </row>
    <row r="228" ht="41.5" customHeight="1">
      <c r="A228" s="7" t="n">
        <v>227</v>
      </c>
      <c r="B228" s="8" t="inlineStr">
        <is>
          <t>キーワード能力</t>
        </is>
      </c>
      <c r="C228" s="8" t="inlineStr">
        <is>
          <t>ドロー・手札</t>
        </is>
      </c>
      <c r="D228" s="9" t="inlineStr">
        <is>
          <t>サイクリング</t>
        </is>
      </c>
      <c r="E228" s="10" t="inlineStr">
        <is>
          <t>Cycling</t>
        </is>
      </c>
      <c r="F228" s="7" t="inlineStr">
        <is>
          <t>702.29</t>
        </is>
      </c>
      <c r="G228" s="8" t="inlineStr">
        <is>
          <t>コストを払って手札から捨てると、カードを1枚引ける。使いにくい場面でも入れ替えられる。</t>
        </is>
      </c>
      <c r="H228" s="8" t="inlineStr">
        <is>
          <t>ウルザズ・サーガ (1998)</t>
        </is>
      </c>
      <c r="I228" s="8" t="inlineStr">
        <is>
          <t>手札のカードを少額のエネルギーで捨てて1枚引く。状況依存のカードに少ないポイントで付けて腐りにくくする。呪いカードに付ければ処分手段にもなる。</t>
        </is>
      </c>
      <c r="J228" s="11" t="inlineStr">
        <is>
          <t>高</t>
        </is>
      </c>
      <c r="K228" s="8" t="inlineStr">
        <is>
          <t>山札・捨て札</t>
        </is>
      </c>
      <c r="L228" s="12" t="inlineStr">
        <is>
          <t>◎</t>
        </is>
      </c>
      <c r="M228" s="13" t="inlineStr">
        <is>
          <t>【今回実装：カードの能力『サイクリング』（行動 handAbility）（`cycling`・バッチC1）】（審査時は○）カードの属性『サイクリング』：手札からエナジー1で捨てて1枚引く。新しい行動（ドロップ先）が要る。+2pt</t>
        </is>
      </c>
    </row>
    <row r="229" ht="41.5" customHeight="1">
      <c r="A229" s="7" t="n">
        <v>228</v>
      </c>
      <c r="B229" s="8" t="inlineStr">
        <is>
          <t>キーワード能力</t>
        </is>
      </c>
      <c r="C229" s="8" t="inlineStr">
        <is>
          <t>山札操作</t>
        </is>
      </c>
      <c r="D229" s="9" t="inlineStr">
        <is>
          <t>タイプ・サイクリング（土地サイクリングなど）</t>
        </is>
      </c>
      <c r="E229" s="10" t="inlineStr">
        <is>
          <t>Typecycling (Landcycling など)</t>
        </is>
      </c>
      <c r="F229" s="7" t="inlineStr">
        <is>
          <t>702.29e</t>
        </is>
      </c>
      <c r="G229" s="8" t="inlineStr">
        <is>
          <t>サイクリングの変種。捨てた代わりに、指定タイプのカードを山札から探して手札に加える。</t>
        </is>
      </c>
      <c r="H229" s="8" t="inlineStr">
        <is>
          <t>スカージ (2003)</t>
        </is>
      </c>
      <c r="I229" s="8" t="inlineStr">
        <is>
          <t>捨てる代わりに、山札から指定タグのカードを探して手札に加える。サーチは強いので通常のサイクリングより高ポイントにする。デジタルなら選択UIも容易。</t>
        </is>
      </c>
      <c r="J229" s="11" t="inlineStr">
        <is>
          <t>中</t>
        </is>
      </c>
      <c r="K229" s="8" t="inlineStr">
        <is>
          <t>山札・捨て札</t>
        </is>
      </c>
      <c r="L229" s="12" t="inlineStr">
        <is>
          <t>△</t>
        </is>
      </c>
      <c r="M229" s="13" t="inlineStr">
        <is>
          <t>サイクリング実装後、その派生（捨てて山札から指定種類をサーチ）として。単独では保留</t>
        </is>
      </c>
    </row>
    <row r="230" ht="41.5" customHeight="1">
      <c r="A230" s="7" t="n">
        <v>229</v>
      </c>
      <c r="B230" s="8" t="inlineStr">
        <is>
          <t>キーワード能力</t>
        </is>
      </c>
      <c r="C230" s="8" t="inlineStr">
        <is>
          <t>コスト・リソース</t>
        </is>
      </c>
      <c r="D230" s="9" t="inlineStr">
        <is>
          <t>エコー</t>
        </is>
      </c>
      <c r="E230" s="10" t="inlineStr">
        <is>
          <t>Echo</t>
        </is>
      </c>
      <c r="F230" s="7" t="inlineStr">
        <is>
          <t>702.30</t>
        </is>
      </c>
      <c r="G230" s="8" t="inlineStr">
        <is>
          <t>コントロールし始めた次のアップキープに、もう一度コストを払わないと生け贄になる。</t>
        </is>
      </c>
      <c r="H230" s="8" t="inlineStr">
        <is>
          <t>ウルザズ・サーガ (1998)</t>
        </is>
      </c>
      <c r="I230" s="8" t="inlineStr">
        <is>
          <t>設置した次のターン開始時に再度エネルギーを払わないと消える。強力カードを2ターンの分割払いにする表現で、コストの前借りを作れる。</t>
        </is>
      </c>
      <c r="J230" s="11" t="inlineStr">
        <is>
          <t>中</t>
        </is>
      </c>
      <c r="K230" s="8" t="inlineStr">
        <is>
          <t>常駐カード枠</t>
        </is>
      </c>
      <c r="L230" s="12" t="inlineStr">
        <is>
          <t>×</t>
        </is>
      </c>
      <c r="M230" s="13" t="inlineStr">
        <is>
          <t>既存：反動（次のターンのエナジー−1）</t>
        </is>
      </c>
    </row>
    <row r="231" ht="37.5" customHeight="1">
      <c r="A231" s="7" t="n">
        <v>230</v>
      </c>
      <c r="B231" s="8" t="inlineStr">
        <is>
          <t>キーワード能力</t>
        </is>
      </c>
      <c r="C231" s="8" t="inlineStr">
        <is>
          <t>回避</t>
        </is>
      </c>
      <c r="D231" s="9" t="inlineStr">
        <is>
          <t>馬術</t>
        </is>
      </c>
      <c r="E231" s="10" t="inlineStr">
        <is>
          <t>Horsemanship</t>
        </is>
      </c>
      <c r="F231" s="7" t="inlineStr">
        <is>
          <t>702.31</t>
        </is>
      </c>
      <c r="G231" s="8" t="inlineStr">
        <is>
          <t>馬術を持つクリーチャーにしかブロックされない。飛行と同じ構造をした別系統の回避。</t>
        </is>
      </c>
      <c r="H231" s="8" t="inlineStr">
        <is>
          <t>ポータル三国志 (1999)</t>
        </is>
      </c>
      <c r="I231" s="8" t="inlineStr">
        <is>
          <t>飛行と同様のブロック無視を別系統として用意し、対策カードもそれぞれ専用にする。回避の種類が増えるとデッキ構築の読み合いが生まれる。</t>
        </is>
      </c>
      <c r="J231" s="11" t="inlineStr">
        <is>
          <t>高</t>
        </is>
      </c>
      <c r="K231" s="8" t="inlineStr">
        <is>
          <t>ブロック値</t>
        </is>
      </c>
      <c r="L231" s="12" t="inlineStr">
        <is>
          <t>×</t>
        </is>
      </c>
      <c r="M231" s="13" t="inlineStr">
        <is>
          <t>飛行と同じ構造。既存：飛行</t>
        </is>
      </c>
    </row>
    <row r="232" ht="41.5" customHeight="1">
      <c r="A232" s="7" t="n">
        <v>231</v>
      </c>
      <c r="B232" s="8" t="inlineStr">
        <is>
          <t>キーワード能力</t>
        </is>
      </c>
      <c r="C232" s="8" t="inlineStr">
        <is>
          <t>成長・カウンター</t>
        </is>
      </c>
      <c r="D232" s="9" t="inlineStr">
        <is>
          <t>消散</t>
        </is>
      </c>
      <c r="E232" s="10" t="inlineStr">
        <is>
          <t>Fading</t>
        </is>
      </c>
      <c r="F232" s="7" t="inlineStr">
        <is>
          <t>702.32</t>
        </is>
      </c>
      <c r="G232" s="8" t="inlineStr">
        <is>
          <t>消散カウンターを置いて出て毎アップキープに1個減らし、減らせなくなった時に生け贄になる。</t>
        </is>
      </c>
      <c r="H232" s="8" t="inlineStr">
        <is>
          <t>ネメシス (2000)</t>
        </is>
      </c>
      <c r="I232" s="8" t="inlineStr">
        <is>
          <t>常駐カードに残り寿命N回を持たせ、毎ターン1ずつ減って尽きたら廃棄。強いパワーを期間限定にしてポイントを割り引く標準ルールとして使える。</t>
        </is>
      </c>
      <c r="J232" s="11" t="inlineStr">
        <is>
          <t>高</t>
        </is>
      </c>
      <c r="K232" s="8" t="inlineStr">
        <is>
          <t>カウンター表示</t>
        </is>
      </c>
      <c r="L232" s="12" t="inlineStr">
        <is>
          <t>◎</t>
        </is>
      </c>
      <c r="M232" s="13" t="inlineStr">
        <is>
          <t>【今回実装：寿命】今回実装 デメリット『寿命N』lifespan：N回目の自分のターン終了時に破壊（パワーは消える）</t>
        </is>
      </c>
    </row>
    <row r="233" ht="37.5" customHeight="1">
      <c r="A233" s="7" t="n">
        <v>232</v>
      </c>
      <c r="B233" s="8" t="inlineStr">
        <is>
          <t>キーワード能力</t>
        </is>
      </c>
      <c r="C233" s="8" t="inlineStr">
        <is>
          <t>コスト・リソース</t>
        </is>
      </c>
      <c r="D233" s="9" t="inlineStr">
        <is>
          <t>キッカー</t>
        </is>
      </c>
      <c r="E233" s="10" t="inlineStr">
        <is>
          <t>Kicker</t>
        </is>
      </c>
      <c r="F233" s="7" t="inlineStr">
        <is>
          <t>702.33</t>
        </is>
      </c>
      <c r="G233" s="8" t="inlineStr">
        <is>
          <t>唱える時に任意の追加コストを払うと、追加の効果や強化された効果が得られる。</t>
        </is>
      </c>
      <c r="H233" s="8" t="inlineStr">
        <is>
          <t>インベイジョン (2000)</t>
        </is>
      </c>
      <c r="I233" s="8" t="inlineStr">
        <is>
          <t>使用時に追加エネルギーを払えば効果が上乗せされる二段階カード。序盤と終盤で使い分けられる。ポイントは基本効果と追加効果の合計に割引率を掛ける。</t>
        </is>
      </c>
      <c r="J233" s="11" t="inlineStr">
        <is>
          <t>高</t>
        </is>
      </c>
      <c r="K233" s="8" t="inlineStr">
        <is>
          <t>エネルギー</t>
        </is>
      </c>
      <c r="L233" s="12" t="inlineStr">
        <is>
          <t>◎</t>
        </is>
      </c>
      <c r="M233" s="13" t="inlineStr">
        <is>
          <t>【今回実装：カードの能力『キッカー』＋条件『キッカーを払っていれば』（`kicker`・バッチC1）】（審査時は○）条件『キッカー』：エナジーを追加で1払えるなら払って発動。使用時の自動支払いで実装。倍率0.8</t>
        </is>
      </c>
    </row>
    <row r="234" ht="29" customHeight="1">
      <c r="A234" s="7" t="n">
        <v>233</v>
      </c>
      <c r="B234" s="8" t="inlineStr">
        <is>
          <t>キーワード能力</t>
        </is>
      </c>
      <c r="C234" s="8" t="inlineStr">
        <is>
          <t>コスト・リソース</t>
        </is>
      </c>
      <c r="D234" s="9" t="inlineStr">
        <is>
          <t>多重キッカー</t>
        </is>
      </c>
      <c r="E234" s="10" t="inlineStr">
        <is>
          <t>Multikicker</t>
        </is>
      </c>
      <c r="F234" s="7" t="inlineStr">
        <is>
          <t>702.33c</t>
        </is>
      </c>
      <c r="G234" s="8" t="inlineStr">
        <is>
          <t>キッカーの変種。追加コストを何回でも払え、払った回数だけ効果が大きくなる。</t>
        </is>
      </c>
      <c r="H234" s="8" t="inlineStr">
        <is>
          <t>ワールドウェイク (2010)</t>
        </is>
      </c>
      <c r="I234" s="8" t="inlineStr">
        <is>
          <t>余ったエネルギーを好きなだけ注ぎ、1回ごとに効果が増えるXコスト型カード。上限回数を設定してバランスを取る。</t>
        </is>
      </c>
      <c r="J234" s="11" t="inlineStr">
        <is>
          <t>高</t>
        </is>
      </c>
      <c r="K234" s="8" t="inlineStr">
        <is>
          <t>エネルギー</t>
        </is>
      </c>
      <c r="L234" s="12" t="inlineStr">
        <is>
          <t>◎</t>
        </is>
      </c>
      <c r="M234" s="13" t="inlineStr">
        <is>
          <t>【今回実装：X（全力）】修飾『X』xEnergy に統合（#600）</t>
        </is>
      </c>
    </row>
    <row r="235" ht="41.5" customHeight="1">
      <c r="A235" s="7" t="n">
        <v>234</v>
      </c>
      <c r="B235" s="8" t="inlineStr">
        <is>
          <t>キーワード能力</t>
        </is>
      </c>
      <c r="C235" s="8" t="inlineStr">
        <is>
          <t>墓地利用</t>
        </is>
      </c>
      <c r="D235" s="9" t="inlineStr">
        <is>
          <t>フラッシュバック</t>
        </is>
      </c>
      <c r="E235" s="10" t="inlineStr">
        <is>
          <t>Flashback</t>
        </is>
      </c>
      <c r="F235" s="7" t="inlineStr">
        <is>
          <t>702.34</t>
        </is>
      </c>
      <c r="G235" s="8" t="inlineStr">
        <is>
          <t>墓地にあるこのカードを、指定のコストで唱えられる。唱えた後は追放される。</t>
        </is>
      </c>
      <c r="H235" s="8" t="inlineStr">
        <is>
          <t>オデッセイ (2001)</t>
        </is>
      </c>
      <c r="I235" s="8" t="inlineStr">
        <is>
          <t>捨て札にあるこのカードを別コストでもう一度使え、使用後は廃棄へ送る。捨て札ゾーンの価値が上がる。2回使える分ポイントを加算する。</t>
        </is>
      </c>
      <c r="J235" s="11" t="inlineStr">
        <is>
          <t>中</t>
        </is>
      </c>
      <c r="K235" s="8" t="inlineStr">
        <is>
          <t>捨て札・廃棄</t>
        </is>
      </c>
      <c r="L235" s="12" t="inlineStr">
        <is>
          <t>◎</t>
        </is>
      </c>
      <c r="M235" s="13" t="inlineStr">
        <is>
          <t>【今回実装：カードの能力『フラッシュバック』（捨て札から使う）（`flashback`・バッチC1）】（審査時は○）キーワード『フラッシュバック』：捨て札から使え、使ったら除外。捨て札から使う操作が要る。基礎pt×0.6上乗せ</t>
        </is>
      </c>
    </row>
    <row r="236" ht="37.5" customHeight="1">
      <c r="A236" s="7" t="n">
        <v>235</v>
      </c>
      <c r="B236" s="8" t="inlineStr">
        <is>
          <t>キーワード能力</t>
        </is>
      </c>
      <c r="C236" s="8" t="inlineStr">
        <is>
          <t>ドロー・手札</t>
        </is>
      </c>
      <c r="D236" s="9" t="inlineStr">
        <is>
          <t>マッドネス</t>
        </is>
      </c>
      <c r="E236" s="10" t="inlineStr">
        <is>
          <t>Madness</t>
        </is>
      </c>
      <c r="F236" s="7" t="inlineStr">
        <is>
          <t>702.35</t>
        </is>
      </c>
      <c r="G236" s="8" t="inlineStr">
        <is>
          <t>このカードを捨てた時、いったん追放してから代替のマッドネス・コストで唱えられる。</t>
        </is>
      </c>
      <c r="H236" s="8" t="inlineStr">
        <is>
          <t>トーメント (2002)</t>
        </is>
      </c>
      <c r="I236" s="8" t="inlineStr">
        <is>
          <t>効果で捨てた時に安いコストでそのまま使える。捨てた時に誘発する系統のシナジーの受け皿になり、手札を捨てるカードの価値も上がる。</t>
        </is>
      </c>
      <c r="J236" s="11" t="inlineStr">
        <is>
          <t>中</t>
        </is>
      </c>
      <c r="K236" s="8" t="inlineStr">
        <is>
          <t>捨て札</t>
        </is>
      </c>
      <c r="L236" s="12" t="inlineStr">
        <is>
          <t>△</t>
        </is>
      </c>
      <c r="M236" s="13" t="inlineStr">
        <is>
          <t>タイミング『捨てられたとき』（手札喪失など効果で捨てた時のみ）。捨てる効果が少ないので後回し</t>
        </is>
      </c>
    </row>
    <row r="237" ht="45.5" customHeight="1">
      <c r="A237" s="7" t="n">
        <v>236</v>
      </c>
      <c r="B237" s="8" t="inlineStr">
        <is>
          <t>キーワード能力</t>
        </is>
      </c>
      <c r="C237" s="8" t="inlineStr">
        <is>
          <t>回避</t>
        </is>
      </c>
      <c r="D237" s="9" t="inlineStr">
        <is>
          <t>畏怖</t>
        </is>
      </c>
      <c r="E237" s="10" t="inlineStr">
        <is>
          <t>Fear</t>
        </is>
      </c>
      <c r="F237" s="7" t="inlineStr">
        <is>
          <t>702.36</t>
        </is>
      </c>
      <c r="G237" s="8" t="inlineStr">
        <is>
          <t>アーティファクト・クリーチャーか黒のクリーチャーにしかブロックされない。</t>
        </is>
      </c>
      <c r="H237" s="8" t="inlineStr">
        <is>
          <t>オンスロート (2002)※能力自体はアルファ (1993)から</t>
        </is>
      </c>
      <c r="I237" s="8" t="inlineStr">
        <is>
          <t>闇属性などの特定属性とアイテム系の防御カードでしか防げない攻撃。属性ごとに回避を設計する時の一例になる。</t>
        </is>
      </c>
      <c r="J237" s="11" t="inlineStr">
        <is>
          <t>高</t>
        </is>
      </c>
      <c r="K237" s="8" t="inlineStr">
        <is>
          <t>カード属性</t>
        </is>
      </c>
      <c r="L237" s="12" t="inlineStr">
        <is>
          <t>×</t>
        </is>
      </c>
      <c r="M237" s="13" t="inlineStr">
        <is>
          <t>色が前提</t>
        </is>
      </c>
    </row>
    <row r="238" ht="37.5" customHeight="1">
      <c r="A238" s="7" t="n">
        <v>237</v>
      </c>
      <c r="B238" s="8" t="inlineStr">
        <is>
          <t>キーワード能力</t>
        </is>
      </c>
      <c r="C238" s="8" t="inlineStr">
        <is>
          <t>その他</t>
        </is>
      </c>
      <c r="D238" s="9" t="inlineStr">
        <is>
          <t>変異</t>
        </is>
      </c>
      <c r="E238" s="10" t="inlineStr">
        <is>
          <t>Morph</t>
        </is>
      </c>
      <c r="F238" s="7" t="inlineStr">
        <is>
          <t>702.37</t>
        </is>
      </c>
      <c r="G238" s="8" t="inlineStr">
        <is>
          <t>裏向きの2/2として3マナで唱えられ、変異コストを払えばいつでも表向きにできる。</t>
        </is>
      </c>
      <c r="H238" s="8" t="inlineStr">
        <is>
          <t>オンスロート (2002)</t>
        </is>
      </c>
      <c r="I238" s="8" t="inlineStr">
        <is>
          <t>正体不明の裏向きで安く場に出し、後でコストを払うと本来の効果が出る。オンライン対戦なら隠し情報をサーバーで管理でき、ブラフ要素になる。</t>
        </is>
      </c>
      <c r="J238" s="11" t="inlineStr">
        <is>
          <t>中</t>
        </is>
      </c>
      <c r="K238" s="8" t="inlineStr">
        <is>
          <t>隠し情報管理</t>
        </is>
      </c>
      <c r="L238" s="12" t="inlineStr">
        <is>
          <t>×</t>
        </is>
      </c>
      <c r="M238" s="13" t="inlineStr">
        <is>
          <t>裏向きの隠し情報管理が重い</t>
        </is>
      </c>
    </row>
    <row r="239" ht="29" customHeight="1">
      <c r="A239" s="7" t="n">
        <v>238</v>
      </c>
      <c r="B239" s="8" t="inlineStr">
        <is>
          <t>キーワード能力</t>
        </is>
      </c>
      <c r="C239" s="8" t="inlineStr">
        <is>
          <t>強化</t>
        </is>
      </c>
      <c r="D239" s="9" t="inlineStr">
        <is>
          <t>大変異</t>
        </is>
      </c>
      <c r="E239" s="10" t="inlineStr">
        <is>
          <t>Megamorph</t>
        </is>
      </c>
      <c r="F239" s="7" t="inlineStr">
        <is>
          <t>702.37b</t>
        </is>
      </c>
      <c r="G239" s="8" t="inlineStr">
        <is>
          <t>変異の変種。表向きにした時に+1/+1カウンターも1個置かれる。</t>
        </is>
      </c>
      <c r="H239" s="8" t="inlineStr">
        <is>
          <t>タルキール龍紀伝 (2015)</t>
        </is>
      </c>
      <c r="I239" s="8" t="inlineStr">
        <is>
          <t>裏向きのカードを公開した時に恒久強化+1が付く。公開時のボーナスで、隠し情報カードの価値を補える。</t>
        </is>
      </c>
      <c r="J239" s="11" t="inlineStr">
        <is>
          <t>中</t>
        </is>
      </c>
      <c r="K239" s="8" t="inlineStr">
        <is>
          <t>隠し情報管理</t>
        </is>
      </c>
      <c r="L239" s="12" t="inlineStr">
        <is>
          <t>×</t>
        </is>
      </c>
      <c r="M239" s="13" t="inlineStr">
        <is>
          <t>変異が前提</t>
        </is>
      </c>
    </row>
    <row r="240" ht="37.5" customHeight="1">
      <c r="A240" s="7" t="n">
        <v>239</v>
      </c>
      <c r="B240" s="8" t="inlineStr">
        <is>
          <t>キーワード能力</t>
        </is>
      </c>
      <c r="C240" s="8" t="inlineStr">
        <is>
          <t>条件ボーナス</t>
        </is>
      </c>
      <c r="D240" s="9" t="inlineStr">
        <is>
          <t>増幅</t>
        </is>
      </c>
      <c r="E240" s="10" t="inlineStr">
        <is>
          <t>Amplify</t>
        </is>
      </c>
      <c r="F240" s="7" t="inlineStr">
        <is>
          <t>702.38</t>
        </is>
      </c>
      <c r="G240" s="8" t="inlineStr">
        <is>
          <t>出る時、手札から同じクリーチャー・タイプのカードを公開した枚数に応じて+1/+1カウンターを置く。</t>
        </is>
      </c>
      <c r="H240" s="8" t="inlineStr">
        <is>
          <t>レギオン (2003)</t>
        </is>
      </c>
      <c r="I240" s="8" t="inlineStr">
        <is>
          <t>使用時に手札の同タグカードを見せた枚数だけ効果が増える。手札情報を相手に渡す代償付きで、タグを揃えたデッキへの報酬になる。</t>
        </is>
      </c>
      <c r="J240" s="11" t="inlineStr">
        <is>
          <t>中</t>
        </is>
      </c>
      <c r="K240" s="8" t="inlineStr">
        <is>
          <t>カードタグ</t>
        </is>
      </c>
      <c r="L240" s="12" t="inlineStr">
        <is>
          <t>×</t>
        </is>
      </c>
      <c r="M240" s="13" t="inlineStr">
        <is>
          <t>種族タグが無い</t>
        </is>
      </c>
    </row>
    <row r="241" ht="45.5" customHeight="1">
      <c r="A241" s="7" t="n">
        <v>240</v>
      </c>
      <c r="B241" s="8" t="inlineStr">
        <is>
          <t>キーワード能力</t>
        </is>
      </c>
      <c r="C241" s="8" t="inlineStr">
        <is>
          <t>妨害</t>
        </is>
      </c>
      <c r="D241" s="9" t="inlineStr">
        <is>
          <t>挑発</t>
        </is>
      </c>
      <c r="E241" s="10" t="inlineStr">
        <is>
          <t>Provoke</t>
        </is>
      </c>
      <c r="F241" s="7" t="inlineStr">
        <is>
          <t>702.39</t>
        </is>
      </c>
      <c r="G241" s="8" t="inlineStr">
        <is>
          <t>攻撃時、相手のクリーチャー1体をアンタップさせ、可能ならこれをブロックさせる。</t>
        </is>
      </c>
      <c r="H241" s="8" t="inlineStr">
        <is>
          <t>レギオン (2003)</t>
        </is>
      </c>
      <c r="I241" s="8" t="inlineStr">
        <is>
          <t>相手のユニット1体に自分を防御・攻撃するよう強制するタウント。CPU戦では敵の狙いを固定でき、PvPでは相手の守りを引きはがせる。</t>
        </is>
      </c>
      <c r="J241" s="11" t="inlineStr">
        <is>
          <t>中</t>
        </is>
      </c>
      <c r="K241" s="8" t="inlineStr">
        <is>
          <t>攻撃・ブロック</t>
        </is>
      </c>
      <c r="L241" s="12" t="inlineStr">
        <is>
          <t>◎</t>
        </is>
      </c>
      <c r="M241" s="13" t="inlineStr">
        <is>
          <t>【今回実装：格闘】今回実装 効果『格闘』fight に統合（#418）</t>
        </is>
      </c>
    </row>
    <row r="242" ht="41.5" customHeight="1">
      <c r="A242" s="7" t="n">
        <v>241</v>
      </c>
      <c r="B242" s="8" t="inlineStr">
        <is>
          <t>キーワード能力</t>
        </is>
      </c>
      <c r="C242" s="8" t="inlineStr">
        <is>
          <t>条件ボーナス</t>
        </is>
      </c>
      <c r="D242" s="9" t="inlineStr">
        <is>
          <t>ストーム</t>
        </is>
      </c>
      <c r="E242" s="10" t="inlineStr">
        <is>
          <t>Storm</t>
        </is>
      </c>
      <c r="F242" s="7" t="inlineStr">
        <is>
          <t>702.40</t>
        </is>
      </c>
      <c r="G242" s="8" t="inlineStr">
        <is>
          <t>唱えた時、このターンにそれより前に唱えられた呪文の数だけコピーが作られる。</t>
        </is>
      </c>
      <c r="H242" s="8" t="inlineStr">
        <is>
          <t>スカージ (2003)</t>
        </is>
      </c>
      <c r="I242" s="8" t="inlineStr">
        <is>
          <t>このターン先に使ったカードの枚数だけ効果を複製する。0コストカードと組むと爆発するので、コピー上限を設けるかポイントを非常に高くする。</t>
        </is>
      </c>
      <c r="J242" s="11" t="inlineStr">
        <is>
          <t>中</t>
        </is>
      </c>
      <c r="K242" s="8" t="inlineStr">
        <is>
          <t>使用履歴カウント</t>
        </is>
      </c>
      <c r="L242" s="12" t="inlineStr">
        <is>
          <t>◎</t>
        </is>
      </c>
      <c r="M242" s="13" t="inlineStr">
        <is>
          <t>【今回実装：このターン使ったカード1枚につき】今回実装 修飾『このターン使ったカード1枚につき』perCardPlayed（最大3枚。繰り返しでなく数値を掛ける）</t>
        </is>
      </c>
    </row>
    <row r="243" ht="33" customHeight="1">
      <c r="A243" s="7" t="n">
        <v>242</v>
      </c>
      <c r="B243" s="8" t="inlineStr">
        <is>
          <t>キーワード能力</t>
        </is>
      </c>
      <c r="C243" s="8" t="inlineStr">
        <is>
          <t>コスト・リソース</t>
        </is>
      </c>
      <c r="D243" s="9" t="inlineStr">
        <is>
          <t>親和</t>
        </is>
      </c>
      <c r="E243" s="10" t="inlineStr">
        <is>
          <t>Affinity</t>
        </is>
      </c>
      <c r="F243" s="7" t="inlineStr">
        <is>
          <t>702.41</t>
        </is>
      </c>
      <c r="G243" s="8" t="inlineStr">
        <is>
          <t>指定の種類（アーティファクトなど）を1つコントロールするごとに、唱えるコストが1減る。</t>
        </is>
      </c>
      <c r="H243" s="8" t="inlineStr">
        <is>
          <t>ミラディン (2003)</t>
        </is>
      </c>
      <c r="I243" s="8" t="inlineStr">
        <is>
          <t>場にある指定タグのカード1枚ごとにエネルギーコスト-1。0コスト連打が起きやすいので、最低コストを設けるとよい。</t>
        </is>
      </c>
      <c r="J243" s="11" t="inlineStr">
        <is>
          <t>高</t>
        </is>
      </c>
      <c r="K243" s="8" t="inlineStr">
        <is>
          <t>カードタグ</t>
        </is>
      </c>
      <c r="L243" s="12" t="inlineStr">
        <is>
          <t>◎</t>
        </is>
      </c>
      <c r="M243" s="13" t="inlineStr">
        <is>
          <t>【今回実装：カードの能力『親和』（`affinity`・バッチC1）】（審査時は○）キーワード『親和』：自分の場のモンスター1体につきコスト−1（最低0か1）。動的コストの仕組みが要る</t>
        </is>
      </c>
    </row>
    <row r="244" ht="29" customHeight="1">
      <c r="A244" s="7" t="n">
        <v>243</v>
      </c>
      <c r="B244" s="8" t="inlineStr">
        <is>
          <t>キーワード能力</t>
        </is>
      </c>
      <c r="C244" s="8" t="inlineStr">
        <is>
          <t>コスト・リソース</t>
        </is>
      </c>
      <c r="D244" s="9" t="inlineStr">
        <is>
          <t>双呪</t>
        </is>
      </c>
      <c r="E244" s="10" t="inlineStr">
        <is>
          <t>Entwine</t>
        </is>
      </c>
      <c r="F244" s="7" t="inlineStr">
        <is>
          <t>702.42</t>
        </is>
      </c>
      <c r="G244" s="8" t="inlineStr">
        <is>
          <t>複数の選択肢から1つを選ぶ呪文で、追加コストを払うと全部の選択肢を実行できる。</t>
        </is>
      </c>
      <c r="H244" s="8" t="inlineStr">
        <is>
          <t>ミラディン (2003)</t>
        </is>
      </c>
      <c r="I244" s="8" t="inlineStr">
        <is>
          <t>二択カードに、追加エネルギーで両方とも実行するオプションを付ける。選択式カードのポイント設計の基本形として使える。</t>
        </is>
      </c>
      <c r="J244" s="11" t="inlineStr">
        <is>
          <t>高</t>
        </is>
      </c>
      <c r="K244" s="8" t="inlineStr">
        <is>
          <t>エネルギー</t>
        </is>
      </c>
      <c r="L244" s="12" t="inlineStr">
        <is>
          <t>◎</t>
        </is>
      </c>
      <c r="M244" s="13" t="inlineStr">
        <is>
          <t>【今回実装：カードの能力『双呪』（モード選択）（`entwine`・バッチC2）】（審査時は○）#54・#599 の選択式カードに統合（次回）</t>
        </is>
      </c>
    </row>
    <row r="245" ht="41.5" customHeight="1">
      <c r="A245" s="7" t="n">
        <v>244</v>
      </c>
      <c r="B245" s="8" t="inlineStr">
        <is>
          <t>キーワード能力</t>
        </is>
      </c>
      <c r="C245" s="8" t="inlineStr">
        <is>
          <t>成長・カウンター</t>
        </is>
      </c>
      <c r="D245" s="9" t="inlineStr">
        <is>
          <t>接合</t>
        </is>
      </c>
      <c r="E245" s="10" t="inlineStr">
        <is>
          <t>Modular</t>
        </is>
      </c>
      <c r="F245" s="7" t="inlineStr">
        <is>
          <t>702.43</t>
        </is>
      </c>
      <c r="G245" s="10" t="inlineStr">
        <is>
          <t>+1/+1カウンターをN個置いて出る。死亡時、そのカウンターを他のアーティファクト・クリーチャーに移せる。</t>
        </is>
      </c>
      <c r="H245" s="8" t="inlineStr">
        <is>
          <t>ダークスティール (2004)</t>
        </is>
      </c>
      <c r="I245" s="8" t="inlineStr">
        <is>
          <t>倒された時に蓄えた強化値を他の味方カードに引き継ぐ。除去されても強化が無駄にならず、成長型カードと組み合わせやすい。</t>
        </is>
      </c>
      <c r="J245" s="11" t="inlineStr">
        <is>
          <t>中</t>
        </is>
      </c>
      <c r="K245" s="8" t="inlineStr">
        <is>
          <t>常駐カード枠</t>
        </is>
      </c>
      <c r="L245" s="12" t="inlineStr">
        <is>
          <t>×</t>
        </is>
      </c>
      <c r="M245" s="13" t="inlineStr">
        <is>
          <t>既存：破壊されたとき＋攻撃力アップで作れる</t>
        </is>
      </c>
    </row>
    <row r="246" ht="37.5" customHeight="1">
      <c r="A246" s="7" t="n">
        <v>245</v>
      </c>
      <c r="B246" s="8" t="inlineStr">
        <is>
          <t>キーワード能力</t>
        </is>
      </c>
      <c r="C246" s="8" t="inlineStr">
        <is>
          <t>条件ボーナス</t>
        </is>
      </c>
      <c r="D246" s="9" t="inlineStr">
        <is>
          <t>烈日</t>
        </is>
      </c>
      <c r="E246" s="10" t="inlineStr">
        <is>
          <t>Sunburst</t>
        </is>
      </c>
      <c r="F246" s="7" t="inlineStr">
        <is>
          <t>702.44</t>
        </is>
      </c>
      <c r="G246" s="8" t="inlineStr">
        <is>
          <t>唱えるのに使ったマナの色の数だけ、+1/+1カウンターか蓄積カウンターを置いて出る。</t>
        </is>
      </c>
      <c r="H246" s="8" t="inlineStr">
        <is>
          <t>フィフス・ドーン (2004)</t>
        </is>
      </c>
      <c r="I246" s="8" t="inlineStr">
        <is>
          <t>エネルギーに種類があるなら、支払った種類の数に比例して効果が増える。単色エネルギー制なら、このターン使ったカード属性の種類数で代用する。</t>
        </is>
      </c>
      <c r="J246" s="11" t="inlineStr">
        <is>
          <t>中</t>
        </is>
      </c>
      <c r="K246" s="8" t="inlineStr">
        <is>
          <t>属性付きエネルギー</t>
        </is>
      </c>
      <c r="L246" s="12" t="inlineStr">
        <is>
          <t>×</t>
        </is>
      </c>
      <c r="M246" s="13" t="inlineStr">
        <is>
          <t>マナの色が前提</t>
        </is>
      </c>
    </row>
    <row r="247" ht="29" customHeight="1">
      <c r="A247" s="7" t="n">
        <v>246</v>
      </c>
      <c r="B247" s="8" t="inlineStr">
        <is>
          <t>キーワード能力</t>
        </is>
      </c>
      <c r="C247" s="8" t="inlineStr">
        <is>
          <t>強化</t>
        </is>
      </c>
      <c r="D247" s="9" t="inlineStr">
        <is>
          <t>武士道</t>
        </is>
      </c>
      <c r="E247" s="10" t="inlineStr">
        <is>
          <t>Bushido</t>
        </is>
      </c>
      <c r="F247" s="7" t="inlineStr">
        <is>
          <t>702.45</t>
        </is>
      </c>
      <c r="G247" s="8" t="inlineStr">
        <is>
          <t>ブロックした時やブロックされた時、ターン終了時まで+N/+Nされる。</t>
        </is>
      </c>
      <c r="H247" s="8" t="inlineStr">
        <is>
          <t>神河物語 (2004)</t>
        </is>
      </c>
      <c r="I247" s="8" t="inlineStr">
        <is>
          <t>攻撃が防がれた時や防御した時だけ一時強化する。ブロック値と攻撃がぶつかった時にボーナスを乗せる形で簡単に実装できる。</t>
        </is>
      </c>
      <c r="J247" s="11" t="inlineStr">
        <is>
          <t>高</t>
        </is>
      </c>
      <c r="K247" s="8" t="inlineStr">
        <is>
          <t>攻撃・ブロック</t>
        </is>
      </c>
      <c r="L247" s="12" t="inlineStr">
        <is>
          <t>◎</t>
        </is>
      </c>
      <c r="M247" s="13" t="inlineStr">
        <is>
          <t>【今回実装：武士道】今回実装 キーワード『武士道N』bushido：攻撃・反撃・格闘のとき攻撃力+N</t>
        </is>
      </c>
    </row>
    <row r="248" ht="29" customHeight="1">
      <c r="A248" s="7" t="n">
        <v>247</v>
      </c>
      <c r="B248" s="8" t="inlineStr">
        <is>
          <t>キーワード能力</t>
        </is>
      </c>
      <c r="C248" s="8" t="inlineStr">
        <is>
          <t>墓地利用</t>
        </is>
      </c>
      <c r="D248" s="9" t="inlineStr">
        <is>
          <t>転生</t>
        </is>
      </c>
      <c r="E248" s="10" t="inlineStr">
        <is>
          <t>Soulshift</t>
        </is>
      </c>
      <c r="F248" s="7" t="inlineStr">
        <is>
          <t>702.46</t>
        </is>
      </c>
      <c r="G248" s="8" t="inlineStr">
        <is>
          <t>死亡時、マナ総量N以下のスピリット・カードを墓地から手札に戻せる。</t>
        </is>
      </c>
      <c r="H248" s="8" t="inlineStr">
        <is>
          <t>神河物語 (2004)</t>
        </is>
      </c>
      <c r="I248" s="8" t="inlineStr">
        <is>
          <t>このカードが倒れたり廃棄された時、捨て札からコストN以下の同タグカードを手札に回収する。リソースの連鎖を作れる。</t>
        </is>
      </c>
      <c r="J248" s="11" t="inlineStr">
        <is>
          <t>中</t>
        </is>
      </c>
      <c r="K248" s="8" t="inlineStr">
        <is>
          <t>捨て札</t>
        </is>
      </c>
      <c r="L248" s="12" t="inlineStr">
        <is>
          <t>×</t>
        </is>
      </c>
      <c r="M248" s="13" t="inlineStr">
        <is>
          <t>既存：破壊されたとき＋回収で作れる</t>
        </is>
      </c>
    </row>
    <row r="249" ht="37.5" customHeight="1">
      <c r="A249" s="7" t="n">
        <v>248</v>
      </c>
      <c r="B249" s="8" t="inlineStr">
        <is>
          <t>キーワード能力</t>
        </is>
      </c>
      <c r="C249" s="8" t="inlineStr">
        <is>
          <t>反復・再利用</t>
        </is>
      </c>
      <c r="D249" s="9" t="inlineStr">
        <is>
          <t>連繋</t>
        </is>
      </c>
      <c r="E249" s="10" t="inlineStr">
        <is>
          <t>Splice</t>
        </is>
      </c>
      <c r="F249" s="7" t="inlineStr">
        <is>
          <t>702.47</t>
        </is>
      </c>
      <c r="G249" s="8" t="inlineStr">
        <is>
          <t>秘儀の呪文を唱える時、手札のこれを公開しコストを払うと効果を追加できる。このカードは手札に残る。</t>
        </is>
      </c>
      <c r="H249" s="8" t="inlineStr">
        <is>
          <t>神河物語 (2004)</t>
        </is>
      </c>
      <c r="I249" s="8" t="inlineStr">
        <is>
          <t>特定タグのカードを使う時、手札にあるこのカードの効果をコストを払って上乗せし、本体は手札に残す。手札に置いておくパッシブ強化として面白い。</t>
        </is>
      </c>
      <c r="J249" s="11" t="inlineStr">
        <is>
          <t>中</t>
        </is>
      </c>
      <c r="K249" s="8" t="inlineStr">
        <is>
          <t>カードタグ</t>
        </is>
      </c>
      <c r="L249" s="12" t="inlineStr">
        <is>
          <t>×</t>
        </is>
      </c>
      <c r="M249" s="13" t="inlineStr">
        <is>
          <t>カードタグと手札公開が前提で重い</t>
        </is>
      </c>
    </row>
    <row r="250" ht="41.5" customHeight="1">
      <c r="A250" s="7" t="n">
        <v>249</v>
      </c>
      <c r="B250" s="8" t="inlineStr">
        <is>
          <t>キーワード能力</t>
        </is>
      </c>
      <c r="C250" s="8" t="inlineStr">
        <is>
          <t>コスト・リソース</t>
        </is>
      </c>
      <c r="D250" s="9" t="inlineStr">
        <is>
          <t>献身</t>
        </is>
      </c>
      <c r="E250" s="10" t="inlineStr">
        <is>
          <t>Offering</t>
        </is>
      </c>
      <c r="F250" s="7" t="inlineStr">
        <is>
          <t>702.48</t>
        </is>
      </c>
      <c r="G250" s="8" t="inlineStr">
        <is>
          <t>指定タイプのパーマネントを生け贄にすれば、その分コストを減らして瞬速で唱えられる。</t>
        </is>
      </c>
      <c r="H250" s="8" t="inlineStr">
        <is>
          <t>神河謀叛 (2005)</t>
        </is>
      </c>
      <c r="I250" s="8" t="inlineStr">
        <is>
          <t>場の常駐カードを1枚廃棄すると、そのコスト分だけ安く即座に使える。リソース変換なので、廃棄した側のポイントをどれだけ還元するかの計算式が必要。</t>
        </is>
      </c>
      <c r="J250" s="11" t="inlineStr">
        <is>
          <t>中</t>
        </is>
      </c>
      <c r="K250" s="8" t="inlineStr">
        <is>
          <t>常駐カード枠</t>
        </is>
      </c>
      <c r="L250" s="12" t="inlineStr">
        <is>
          <t>△</t>
        </is>
      </c>
      <c r="M250" s="13" t="inlineStr">
        <is>
          <t>生け贄でコスト軽減。コスト『自分のモンスター1体を破壊』の追加コスト型として後で</t>
        </is>
      </c>
    </row>
    <row r="251" ht="37.5" customHeight="1">
      <c r="A251" s="7" t="n">
        <v>250</v>
      </c>
      <c r="B251" s="8" t="inlineStr">
        <is>
          <t>キーワード能力</t>
        </is>
      </c>
      <c r="C251" s="8" t="inlineStr">
        <is>
          <t>展開・トークン</t>
        </is>
      </c>
      <c r="D251" s="9" t="inlineStr">
        <is>
          <t>忍術</t>
        </is>
      </c>
      <c r="E251" s="10" t="inlineStr">
        <is>
          <t>Ninjutsu</t>
        </is>
      </c>
      <c r="F251" s="7" t="inlineStr">
        <is>
          <t>702.49</t>
        </is>
      </c>
      <c r="G251" s="8" t="inlineStr">
        <is>
          <t>ブロックされなかった攻撃クリーチャーを手札に戻し、代わりにこのカードを攻撃状態で戦場に出す。</t>
        </is>
      </c>
      <c r="H251" s="8" t="inlineStr">
        <is>
          <t>神河謀叛 (2005)</t>
        </is>
      </c>
      <c r="I251" s="8" t="inlineStr">
        <is>
          <t>攻撃が防がれずに通った瞬間、手札のこのカードと入れ替えて効果を発揮する。ブロックを読ませる駆け引きになり、戻したカードは再利用できる。</t>
        </is>
      </c>
      <c r="J251" s="11" t="inlineStr">
        <is>
          <t>低</t>
        </is>
      </c>
      <c r="K251" s="8" t="inlineStr">
        <is>
          <t>攻撃・ブロック</t>
        </is>
      </c>
      <c r="L251" s="12" t="inlineStr">
        <is>
          <t>×</t>
        </is>
      </c>
      <c r="M251" s="13" t="inlineStr">
        <is>
          <t>ブロックが前提</t>
        </is>
      </c>
    </row>
    <row r="252" ht="25" customHeight="1">
      <c r="A252" s="7" t="n">
        <v>251</v>
      </c>
      <c r="B252" s="8" t="inlineStr">
        <is>
          <t>キーワード能力</t>
        </is>
      </c>
      <c r="C252" s="8" t="inlineStr">
        <is>
          <t>展開・トークン</t>
        </is>
      </c>
      <c r="D252" s="9" t="inlineStr">
        <is>
          <t>上忍術</t>
        </is>
      </c>
      <c r="E252" s="10" t="inlineStr">
        <is>
          <t>Commander ninjutsu</t>
        </is>
      </c>
      <c r="F252" s="7" t="inlineStr">
        <is>
          <t>702.49d</t>
        </is>
      </c>
      <c r="G252" s="8" t="inlineStr">
        <is>
          <t>忍術の変種。手札だけでなく統率領域からも起動できる。</t>
        </is>
      </c>
      <c r="H252" s="8" t="inlineStr">
        <is>
          <t>統率者2018 (2018)</t>
        </is>
      </c>
      <c r="I252" s="8" t="inlineStr">
        <is>
          <t>デッキ外のヒーロー専用枠から忍術を使えるようにする。キャラクター固有カードを山札の外に置く仕組みがあれば応用できる。</t>
        </is>
      </c>
      <c r="J252" s="11" t="inlineStr">
        <is>
          <t>低</t>
        </is>
      </c>
      <c r="K252" s="8" t="inlineStr">
        <is>
          <t>固有カード枠</t>
        </is>
      </c>
      <c r="L252" s="12" t="inlineStr">
        <is>
          <t>×</t>
        </is>
      </c>
      <c r="M252" s="13" t="inlineStr">
        <is>
          <t>統率領域が前提</t>
        </is>
      </c>
    </row>
    <row r="253" ht="41.5" customHeight="1">
      <c r="A253" s="7" t="n">
        <v>252</v>
      </c>
      <c r="B253" s="8" t="inlineStr">
        <is>
          <t>キーワード能力</t>
        </is>
      </c>
      <c r="C253" s="8" t="inlineStr">
        <is>
          <t>反復・再利用</t>
        </is>
      </c>
      <c r="D253" s="9" t="inlineStr">
        <is>
          <t>歴伝</t>
        </is>
      </c>
      <c r="E253" s="10" t="inlineStr">
        <is>
          <t>Epic</t>
        </is>
      </c>
      <c r="F253" s="7" t="inlineStr">
        <is>
          <t>702.50</t>
        </is>
      </c>
      <c r="G253" s="8" t="inlineStr">
        <is>
          <t>以後そのゲームでは呪文を唱えられなくなる代わりに、毎アップキープにこの呪文のコピーが作られる。</t>
        </is>
      </c>
      <c r="H253" s="8" t="inlineStr">
        <is>
          <t>神河救済 (2005)</t>
        </is>
      </c>
      <c r="I253" s="8" t="inlineStr">
        <is>
          <t>使うと以後カードを使えなくなるが、毎ターン同じ効果が自動で発動する。終盤の決め手として、PvPで劇的な一手になる。ポイントは極めて高い。</t>
        </is>
      </c>
      <c r="J253" s="11" t="inlineStr">
        <is>
          <t>中</t>
        </is>
      </c>
      <c r="K253" s="8" t="inlineStr">
        <is>
          <t>ターン開始処理</t>
        </is>
      </c>
      <c r="L253" s="12" t="inlineStr">
        <is>
          <t>×</t>
        </is>
      </c>
      <c r="M253" s="13" t="inlineStr">
        <is>
          <t>以後カードを使えないは極端すぎ。反復で十分</t>
        </is>
      </c>
    </row>
    <row r="254" ht="41.5" customHeight="1">
      <c r="A254" s="7" t="n">
        <v>253</v>
      </c>
      <c r="B254" s="8" t="inlineStr">
        <is>
          <t>キーワード能力</t>
        </is>
      </c>
      <c r="C254" s="8" t="inlineStr">
        <is>
          <t>コスト・リソース</t>
        </is>
      </c>
      <c r="D254" s="9" t="inlineStr">
        <is>
          <t>召集</t>
        </is>
      </c>
      <c r="E254" s="10" t="inlineStr">
        <is>
          <t>Convoke</t>
        </is>
      </c>
      <c r="F254" s="7" t="inlineStr">
        <is>
          <t>702.51</t>
        </is>
      </c>
      <c r="G254" s="8" t="inlineStr">
        <is>
          <t>自分のクリーチャーを1体タップするごとに、マナ1点（またはその色のマナ）を払ったものとして扱える。</t>
        </is>
      </c>
      <c r="H254" s="8" t="inlineStr">
        <is>
          <t>ラヴニカ：ギルドの都 (2005)</t>
        </is>
      </c>
      <c r="I254" s="8" t="inlineStr">
        <is>
          <t>場のユニットや常駐カードを1ターン休ませるごとにエネルギー1を肩代わりする。展開型デッキでも大型カードを使えるようになる。</t>
        </is>
      </c>
      <c r="J254" s="11" t="inlineStr">
        <is>
          <t>中</t>
        </is>
      </c>
      <c r="K254" s="8" t="inlineStr">
        <is>
          <t>常駐カード枠</t>
        </is>
      </c>
      <c r="L254" s="12" t="inlineStr">
        <is>
          <t>△</t>
        </is>
      </c>
      <c r="M254" s="13" t="inlineStr">
        <is>
          <t>攻撃していない自分のモンスターを攻撃済みにしてコスト−1。ドラッグ操作が複雑化</t>
        </is>
      </c>
    </row>
    <row r="255" ht="41.5" customHeight="1">
      <c r="A255" s="7" t="n">
        <v>254</v>
      </c>
      <c r="B255" s="8" t="inlineStr">
        <is>
          <t>キーワード能力</t>
        </is>
      </c>
      <c r="C255" s="8" t="inlineStr">
        <is>
          <t>墓地利用</t>
        </is>
      </c>
      <c r="D255" s="9" t="inlineStr">
        <is>
          <t>発掘</t>
        </is>
      </c>
      <c r="E255" s="10" t="inlineStr">
        <is>
          <t>Dredge</t>
        </is>
      </c>
      <c r="F255" s="7" t="inlineStr">
        <is>
          <t>702.52</t>
        </is>
      </c>
      <c r="G255" s="8" t="inlineStr">
        <is>
          <t>カードを引く代わりに、山札の上からN枚を墓地に置いて、このカードを墓地から手札に戻せる。</t>
        </is>
      </c>
      <c r="H255" s="8" t="inlineStr">
        <is>
          <t>ラヴニカ：ギルドの都 (2005)</t>
        </is>
      </c>
      <c r="I255" s="8" t="inlineStr">
        <is>
          <t>ドロー1回の代わりに山札の上N枚を捨て札へ落とし、このカードを捨て札から回収する。捨て札活用デッキの起点になる。山札切れの判定と連動させる。</t>
        </is>
      </c>
      <c r="J255" s="11" t="inlineStr">
        <is>
          <t>中</t>
        </is>
      </c>
      <c r="K255" s="8" t="inlineStr">
        <is>
          <t>捨て札</t>
        </is>
      </c>
      <c r="L255" s="12" t="inlineStr">
        <is>
          <t>△</t>
        </is>
      </c>
      <c r="M255" s="13" t="inlineStr">
        <is>
          <t>ドロー置換は重い。山札の上N枚を捨て札に置く部分は『切削』（#421）に統合</t>
        </is>
      </c>
    </row>
    <row r="256" ht="29" customHeight="1">
      <c r="A256" s="7" t="n">
        <v>255</v>
      </c>
      <c r="B256" s="8" t="inlineStr">
        <is>
          <t>キーワード能力</t>
        </is>
      </c>
      <c r="C256" s="8" t="inlineStr">
        <is>
          <t>山札操作</t>
        </is>
      </c>
      <c r="D256" s="9" t="inlineStr">
        <is>
          <t>変成</t>
        </is>
      </c>
      <c r="E256" s="10" t="inlineStr">
        <is>
          <t>Transmute</t>
        </is>
      </c>
      <c r="F256" s="7" t="inlineStr">
        <is>
          <t>702.53</t>
        </is>
      </c>
      <c r="G256" s="8" t="inlineStr">
        <is>
          <t>手札から捨ててコストを払うと、同じマナ総量のカードを山札から探して手札に加えられる。</t>
        </is>
      </c>
      <c r="H256" s="8" t="inlineStr">
        <is>
          <t>ラヴニカ：ギルドの都 (2005)</t>
        </is>
      </c>
      <c r="I256" s="8" t="inlineStr">
        <is>
          <t>手札のこのカードを捨てて、同じコストのカードを山札から探す。コスト帯ごとに特定カードを探しに行ける。</t>
        </is>
      </c>
      <c r="J256" s="11" t="inlineStr">
        <is>
          <t>中</t>
        </is>
      </c>
      <c r="K256" s="8" t="inlineStr">
        <is>
          <t>山札サーチUI</t>
        </is>
      </c>
      <c r="L256" s="12" t="inlineStr">
        <is>
          <t>△</t>
        </is>
      </c>
      <c r="M256" s="13" t="inlineStr">
        <is>
          <t>既存：サーチの派生（捨てて同コストを探す）。サイクリング後に</t>
        </is>
      </c>
    </row>
    <row r="257" ht="29" customHeight="1">
      <c r="A257" s="7" t="n">
        <v>256</v>
      </c>
      <c r="B257" s="8" t="inlineStr">
        <is>
          <t>キーワード能力</t>
        </is>
      </c>
      <c r="C257" s="8" t="inlineStr">
        <is>
          <t>条件ボーナス</t>
        </is>
      </c>
      <c r="D257" s="9" t="inlineStr">
        <is>
          <t>狂喜</t>
        </is>
      </c>
      <c r="E257" s="10" t="inlineStr">
        <is>
          <t>Bloodthirst</t>
        </is>
      </c>
      <c r="F257" s="7" t="inlineStr">
        <is>
          <t>702.54</t>
        </is>
      </c>
      <c r="G257" s="8" t="inlineStr">
        <is>
          <t>このターンに対戦相手がダメージを受けていれば、+1/+1カウンターをN個置いて出る。</t>
        </is>
      </c>
      <c r="H257" s="8" t="inlineStr">
        <is>
          <t>ギルドパクト (2006)</t>
        </is>
      </c>
      <c r="I257" s="8" t="inlineStr">
        <is>
          <t>このターン既に敵本体にダメージを与えていれば効果が強化される。攻撃カードを先に使うといった手順の工夫を促す。</t>
        </is>
      </c>
      <c r="J257" s="11" t="inlineStr">
        <is>
          <t>高</t>
        </is>
      </c>
      <c r="K257" s="8" t="inlineStr">
        <is>
          <t>なし</t>
        </is>
      </c>
      <c r="L257" s="12" t="inlineStr">
        <is>
          <t>◎</t>
        </is>
      </c>
      <c r="M257" s="13" t="inlineStr">
        <is>
          <t>【今回実装：このターン相手にダメージを与えた】今回実装 条件『このターン相手にダメージを与えた』enemyDamagedThisTurn</t>
        </is>
      </c>
    </row>
    <row r="258" ht="41.5" customHeight="1">
      <c r="A258" s="7" t="n">
        <v>257</v>
      </c>
      <c r="B258" s="8" t="inlineStr">
        <is>
          <t>キーワード能力</t>
        </is>
      </c>
      <c r="C258" s="8" t="inlineStr">
        <is>
          <t>反復・再利用</t>
        </is>
      </c>
      <c r="D258" s="9" t="inlineStr">
        <is>
          <t>憑依</t>
        </is>
      </c>
      <c r="E258" s="10" t="inlineStr">
        <is>
          <t>Haunt</t>
        </is>
      </c>
      <c r="F258" s="7" t="inlineStr">
        <is>
          <t>702.55</t>
        </is>
      </c>
      <c r="G258" s="8" t="inlineStr">
        <is>
          <t>死亡時や呪文の解決時に追放されてクリーチャー1体に取り憑き、そのクリーチャーが死亡すると効果がもう一度発動する。</t>
        </is>
      </c>
      <c r="H258" s="8" t="inlineStr">
        <is>
          <t>ギルドパクト (2006)</t>
        </is>
      </c>
      <c r="I258" s="8" t="inlineStr">
        <is>
          <t>使用後に敵1体へ取り憑き、その敵が倒れた時にもう一度効果を発動する。CPU戦で雑魚処理を連鎖させられる。</t>
        </is>
      </c>
      <c r="J258" s="11" t="inlineStr">
        <is>
          <t>中</t>
        </is>
      </c>
      <c r="K258" s="8" t="inlineStr">
        <is>
          <t>敵への付与</t>
        </is>
      </c>
      <c r="L258" s="12" t="inlineStr">
        <is>
          <t>×</t>
        </is>
      </c>
      <c r="M258" s="13" t="inlineStr">
        <is>
          <t>敵への付与と再発動の管理が重い</t>
        </is>
      </c>
    </row>
    <row r="259" ht="41.5" customHeight="1">
      <c r="A259" s="7" t="n">
        <v>258</v>
      </c>
      <c r="B259" s="8" t="inlineStr">
        <is>
          <t>キーワード能力</t>
        </is>
      </c>
      <c r="C259" s="8" t="inlineStr">
        <is>
          <t>反復・再利用</t>
        </is>
      </c>
      <c r="D259" s="9" t="inlineStr">
        <is>
          <t>複製</t>
        </is>
      </c>
      <c r="E259" s="10" t="inlineStr">
        <is>
          <t>Replicate</t>
        </is>
      </c>
      <c r="F259" s="7" t="inlineStr">
        <is>
          <t>702.56</t>
        </is>
      </c>
      <c r="G259" s="8" t="inlineStr">
        <is>
          <t>追加コストを払った回数だけ、唱えた呪文のコピーが作られる。</t>
        </is>
      </c>
      <c r="H259" s="8" t="inlineStr">
        <is>
          <t>ギルドパクト (2006)</t>
        </is>
      </c>
      <c r="I259" s="8" t="inlineStr">
        <is>
          <t>使用時に追加エネルギーを払うたびに効果を1回複製する。多重キッカーと似るが、同じ効果を繰り返すだけなので理解しやすい。</t>
        </is>
      </c>
      <c r="J259" s="11" t="inlineStr">
        <is>
          <t>高</t>
        </is>
      </c>
      <c r="K259" s="8" t="inlineStr">
        <is>
          <t>エネルギー</t>
        </is>
      </c>
      <c r="L259" s="12" t="inlineStr">
        <is>
          <t>◎</t>
        </is>
      </c>
      <c r="M259" s="13" t="inlineStr">
        <is>
          <t>【今回実装：X（全力）】修飾『X』xEnergy に統合（#600。繰り返しでなく数値を掛ける）</t>
        </is>
      </c>
    </row>
    <row r="260" ht="37.5" customHeight="1">
      <c r="A260" s="7" t="n">
        <v>259</v>
      </c>
      <c r="B260" s="8" t="inlineStr">
        <is>
          <t>キーワード能力</t>
        </is>
      </c>
      <c r="C260" s="8" t="inlineStr">
        <is>
          <t>反復・再利用</t>
        </is>
      </c>
      <c r="D260" s="9" t="inlineStr">
        <is>
          <t>予見</t>
        </is>
      </c>
      <c r="E260" s="10" t="inlineStr">
        <is>
          <t>Forecast</t>
        </is>
      </c>
      <c r="F260" s="7" t="inlineStr">
        <is>
          <t>702.57</t>
        </is>
      </c>
      <c r="G260" s="8" t="inlineStr">
        <is>
          <t>自分のアップキープ中だけ、手札のこれを公開しコストを払うと効果を使える。カードは手札に残る。</t>
        </is>
      </c>
      <c r="H260" s="8" t="inlineStr">
        <is>
          <t>ディセンション (2006)</t>
        </is>
      </c>
      <c r="I260" s="8" t="inlineStr">
        <is>
          <t>ターン開始時に手札にあれば、エネルギーを払って小さな効果を発動し、手札に保持し続ける。手札に溜める戦略が成立し、手札上限との兼ね合いが生まれる。</t>
        </is>
      </c>
      <c r="J260" s="11" t="inlineStr">
        <is>
          <t>中</t>
        </is>
      </c>
      <c r="K260" s="8" t="inlineStr">
        <is>
          <t>ターン開始処理</t>
        </is>
      </c>
      <c r="L260" s="12" t="inlineStr">
        <is>
          <t>△</t>
        </is>
      </c>
      <c r="M260" s="13" t="inlineStr">
        <is>
          <t>ターン開始時に手札から起動は手札が毎ターン入れ替わる本作では機会が少ない</t>
        </is>
      </c>
    </row>
    <row r="261" ht="45.5" customHeight="1">
      <c r="A261" s="7" t="n">
        <v>260</v>
      </c>
      <c r="B261" s="8" t="inlineStr">
        <is>
          <t>キーワード能力</t>
        </is>
      </c>
      <c r="C261" s="8" t="inlineStr">
        <is>
          <t>成長・カウンター</t>
        </is>
      </c>
      <c r="D261" s="9" t="inlineStr">
        <is>
          <t>移植</t>
        </is>
      </c>
      <c r="E261" s="10" t="inlineStr">
        <is>
          <t>Graft</t>
        </is>
      </c>
      <c r="F261" s="7" t="inlineStr">
        <is>
          <t>702.58</t>
        </is>
      </c>
      <c r="G261" s="10" t="inlineStr">
        <is>
          <t>+1/+1カウンターをN個置いて出て、他のクリーチャーが出るたびにそこへ1個移せる。</t>
        </is>
      </c>
      <c r="H261" s="8" t="inlineStr">
        <is>
          <t>ディセンション (2006)</t>
        </is>
      </c>
      <c r="I261" s="8" t="inlineStr">
        <is>
          <t>強化値の在庫を持ち、後から出したカードに1つずつ分け与える。後出しカードの強化源で、ポイントは在庫数×単価で計算できる。</t>
        </is>
      </c>
      <c r="J261" s="11" t="inlineStr">
        <is>
          <t>中</t>
        </is>
      </c>
      <c r="K261" s="8" t="inlineStr">
        <is>
          <t>常駐カード枠</t>
        </is>
      </c>
      <c r="L261" s="12" t="inlineStr">
        <is>
          <t>×</t>
        </is>
      </c>
      <c r="M261" s="13" t="inlineStr">
        <is>
          <t>カウンター移し替えが重い。既存の攻撃力アップで足りる</t>
        </is>
      </c>
    </row>
    <row r="262" ht="37.5" customHeight="1">
      <c r="A262" s="7" t="n">
        <v>261</v>
      </c>
      <c r="B262" s="8" t="inlineStr">
        <is>
          <t>キーワード能力</t>
        </is>
      </c>
      <c r="C262" s="8" t="inlineStr">
        <is>
          <t>墓地利用</t>
        </is>
      </c>
      <c r="D262" s="9" t="inlineStr">
        <is>
          <t>復活</t>
        </is>
      </c>
      <c r="E262" s="10" t="inlineStr">
        <is>
          <t>Recover</t>
        </is>
      </c>
      <c r="F262" s="7" t="inlineStr">
        <is>
          <t>702.59</t>
        </is>
      </c>
      <c r="G262" s="8" t="inlineStr">
        <is>
          <t>これが墓地にある間にクリーチャーが墓地に置かれると、コストを払って手札に戻すか、払わずに追放する。</t>
        </is>
      </c>
      <c r="H262" s="8" t="inlineStr">
        <is>
          <t>コールドスナップ (2006)</t>
        </is>
      </c>
      <c r="I262" s="8" t="inlineStr">
        <is>
          <t>捨て札にある時に味方ユニットが倒れたら、再度コストを払って手札に回収し、払わなければ廃棄。払うかどうかの選択がリスク管理になる。</t>
        </is>
      </c>
      <c r="J262" s="11" t="inlineStr">
        <is>
          <t>中</t>
        </is>
      </c>
      <c r="K262" s="8" t="inlineStr">
        <is>
          <t>捨て札・廃棄</t>
        </is>
      </c>
      <c r="L262" s="12" t="inlineStr">
        <is>
          <t>×</t>
        </is>
      </c>
      <c r="M262" s="13" t="inlineStr">
        <is>
          <t>捨て札からの誘発と支払い選択が重い</t>
        </is>
      </c>
    </row>
    <row r="263" ht="41.5" customHeight="1">
      <c r="A263" s="7" t="n">
        <v>262</v>
      </c>
      <c r="B263" s="8" t="inlineStr">
        <is>
          <t>キーワード能力</t>
        </is>
      </c>
      <c r="C263" s="8" t="inlineStr">
        <is>
          <t>反復・再利用</t>
        </is>
      </c>
      <c r="D263" s="9" t="inlineStr">
        <is>
          <t>波及</t>
        </is>
      </c>
      <c r="E263" s="10" t="inlineStr">
        <is>
          <t>Ripple</t>
        </is>
      </c>
      <c r="F263" s="7" t="inlineStr">
        <is>
          <t>702.60</t>
        </is>
      </c>
      <c r="G263" s="8" t="inlineStr">
        <is>
          <t>唱えた時、山札の上N枚を公開し、その中の同名カードをコストなしで唱えられる。</t>
        </is>
      </c>
      <c r="H263" s="8" t="inlineStr">
        <is>
          <t>コールドスナップ (2006)</t>
        </is>
      </c>
      <c r="I263" s="8" t="inlineStr">
        <is>
          <t>使用時に山札の上N枚を見て、同名カードがあれば無料で使う。同じカードを複数積む構築への報酬になり、めくり演出も映える。</t>
        </is>
      </c>
      <c r="J263" s="11" t="inlineStr">
        <is>
          <t>中</t>
        </is>
      </c>
      <c r="K263" s="8" t="inlineStr">
        <is>
          <t>山札公開UI</t>
        </is>
      </c>
      <c r="L263" s="12" t="inlineStr">
        <is>
          <t>×</t>
        </is>
      </c>
      <c r="M263" s="13" t="inlineStr">
        <is>
          <t>同名カードを積む前提で限定的。演出の割に重い</t>
        </is>
      </c>
    </row>
    <row r="264" ht="25" customHeight="1">
      <c r="A264" s="7" t="n">
        <v>263</v>
      </c>
      <c r="B264" s="8" t="inlineStr">
        <is>
          <t>キーワード能力</t>
        </is>
      </c>
      <c r="C264" s="8" t="inlineStr">
        <is>
          <t>妨害</t>
        </is>
      </c>
      <c r="D264" s="9" t="inlineStr">
        <is>
          <t>刹那</t>
        </is>
      </c>
      <c r="E264" s="10" t="inlineStr">
        <is>
          <t>Split second</t>
        </is>
      </c>
      <c r="F264" s="7" t="inlineStr">
        <is>
          <t>702.61</t>
        </is>
      </c>
      <c r="G264" s="8" t="inlineStr">
        <is>
          <t>この呪文がスタックにある間、誰も呪文を唱えられず、マナ能力以外の起動型能力も使えない。</t>
        </is>
      </c>
      <c r="H264" s="8" t="inlineStr">
        <is>
          <t>時のらせん (2006)</t>
        </is>
      </c>
      <c r="I264" s="8" t="inlineStr">
        <is>
          <t>相手の割り込みや反応カードを封じて確実に解決させる。瞬速のような反応ウィンドウを導入した場合にのみ意味を持つ。</t>
        </is>
      </c>
      <c r="J264" s="11" t="inlineStr">
        <is>
          <t>低</t>
        </is>
      </c>
      <c r="K264" s="8" t="inlineStr">
        <is>
          <t>割り込み処理</t>
        </is>
      </c>
      <c r="L264" s="12" t="inlineStr">
        <is>
          <t>×</t>
        </is>
      </c>
      <c r="M264" s="13" t="inlineStr">
        <is>
          <t>割り込みが無い</t>
        </is>
      </c>
    </row>
    <row r="265" ht="45.5" customHeight="1">
      <c r="A265" s="7" t="n">
        <v>264</v>
      </c>
      <c r="B265" s="8" t="inlineStr">
        <is>
          <t>キーワード能力</t>
        </is>
      </c>
      <c r="C265" s="8" t="inlineStr">
        <is>
          <t>コスト・リソース</t>
        </is>
      </c>
      <c r="D265" s="9" t="inlineStr">
        <is>
          <t>待機</t>
        </is>
      </c>
      <c r="E265" s="10" t="inlineStr">
        <is>
          <t>Suspend</t>
        </is>
      </c>
      <c r="F265" s="7" t="inlineStr">
        <is>
          <t>702.62</t>
        </is>
      </c>
      <c r="G265" s="8" t="inlineStr">
        <is>
          <t>時間カウンター付きで手札から追放し、毎ターン1個減らして全てなくなるとコストなしで唱えられる。</t>
        </is>
      </c>
      <c r="H265" s="8" t="inlineStr">
        <is>
          <t>時のらせん (2006)</t>
        </is>
      </c>
      <c r="I265" s="8" t="inlineStr">
        <is>
          <t>今すぐ使う代わりに安いコストでNターン後に予約し、時間切れで無料発動する。強力カードを遅効性で使う選択肢。予約欄のUIが必要。</t>
        </is>
      </c>
      <c r="J265" s="11" t="inlineStr">
        <is>
          <t>中</t>
        </is>
      </c>
      <c r="K265" s="8" t="inlineStr">
        <is>
          <t>予約ゾーン</t>
        </is>
      </c>
      <c r="L265" s="12" t="inlineStr">
        <is>
          <t>△</t>
        </is>
      </c>
      <c r="M265" s="13" t="inlineStr">
        <is>
          <t>予約ゾーンが要る。反復（次のターンに発動）で代替</t>
        </is>
      </c>
    </row>
    <row r="266" ht="41.5" customHeight="1">
      <c r="A266" s="7" t="n">
        <v>265</v>
      </c>
      <c r="B266" s="8" t="inlineStr">
        <is>
          <t>キーワード能力</t>
        </is>
      </c>
      <c r="C266" s="8" t="inlineStr">
        <is>
          <t>成長・カウンター</t>
        </is>
      </c>
      <c r="D266" s="9" t="inlineStr">
        <is>
          <t>消失</t>
        </is>
      </c>
      <c r="E266" s="10" t="inlineStr">
        <is>
          <t>Vanishing</t>
        </is>
      </c>
      <c r="F266" s="7" t="inlineStr">
        <is>
          <t>702.63</t>
        </is>
      </c>
      <c r="G266" s="8" t="inlineStr">
        <is>
          <t>時間カウンター付きで出て毎アップキープに1個減り、最後の1個が取り除かれると生け贄になる。</t>
        </is>
      </c>
      <c r="H266" s="8" t="inlineStr">
        <is>
          <t>次元の混乱 (2007)</t>
        </is>
      </c>
      <c r="I266" s="8" t="inlineStr">
        <is>
          <t>消散とほぼ同じ寿命制。寿命付きカードの表現を統一するなら1つにまとめてよい。ポイントの割引率は寿命ターン数に比例させる。</t>
        </is>
      </c>
      <c r="J266" s="11" t="inlineStr">
        <is>
          <t>高</t>
        </is>
      </c>
      <c r="K266" s="8" t="inlineStr">
        <is>
          <t>カウンター表示</t>
        </is>
      </c>
      <c r="L266" s="12" t="inlineStr">
        <is>
          <t>◎</t>
        </is>
      </c>
      <c r="M266" s="13" t="inlineStr">
        <is>
          <t>【今回実装：寿命】今回実装 デメリット『寿命N』lifespan に統合（#231）</t>
        </is>
      </c>
    </row>
    <row r="267" ht="41.5" customHeight="1">
      <c r="A267" s="7" t="n">
        <v>266</v>
      </c>
      <c r="B267" s="8" t="inlineStr">
        <is>
          <t>キーワード能力</t>
        </is>
      </c>
      <c r="C267" s="8" t="inlineStr">
        <is>
          <t>防御</t>
        </is>
      </c>
      <c r="D267" s="9" t="inlineStr">
        <is>
          <t>吸収</t>
        </is>
      </c>
      <c r="E267" s="10" t="inlineStr">
        <is>
          <t>Absorb</t>
        </is>
      </c>
      <c r="F267" s="7" t="inlineStr">
        <is>
          <t>702.64</t>
        </is>
      </c>
      <c r="G267" s="8" t="inlineStr">
        <is>
          <t>このクリーチャーが受けるダメージを、そのつどN点軽減する。</t>
        </is>
      </c>
      <c r="H267" s="8" t="inlineStr">
        <is>
          <t>未来予知 (2007)</t>
        </is>
      </c>
      <c r="I267" s="8" t="inlineStr">
        <is>
          <t>被ダメージを毎回N軽減する恒常効果。多段攻撃に強く単発の大ダメージに弱いという性格付けができ、ブロック値とは別の防御軸になる。</t>
        </is>
      </c>
      <c r="J267" s="11" t="inlineStr">
        <is>
          <t>高</t>
        </is>
      </c>
      <c r="K267" s="8" t="inlineStr">
        <is>
          <t>なし</t>
        </is>
      </c>
      <c r="L267" s="12" t="inlineStr">
        <is>
          <t>×</t>
        </is>
      </c>
      <c r="M267" s="13" t="inlineStr">
        <is>
          <t>既存：守備力（毎回軽減）</t>
        </is>
      </c>
    </row>
    <row r="268" ht="37.5" customHeight="1">
      <c r="A268" s="7" t="n">
        <v>267</v>
      </c>
      <c r="B268" s="8" t="inlineStr">
        <is>
          <t>キーワード能力</t>
        </is>
      </c>
      <c r="C268" s="8" t="inlineStr">
        <is>
          <t>その他</t>
        </is>
      </c>
      <c r="D268" s="9" t="inlineStr">
        <is>
          <t>オーラ交換</t>
        </is>
      </c>
      <c r="E268" s="10" t="inlineStr">
        <is>
          <t>Aura swap</t>
        </is>
      </c>
      <c r="F268" s="7" t="inlineStr">
        <is>
          <t>702.65</t>
        </is>
      </c>
      <c r="G268" s="8" t="inlineStr">
        <is>
          <t>コストを払うと、このオーラを手札にあるオーラ・カードと入れ替えられる。</t>
        </is>
      </c>
      <c r="H268" s="8" t="inlineStr">
        <is>
          <t>未来予知 (2007)</t>
        </is>
      </c>
      <c r="I268" s="8" t="inlineStr">
        <is>
          <t>装着中のカードを手札の別の装着カードと入れ替え、状況に応じて付与効果を切り替える。装着システムを入れる場合の柔軟性として。</t>
        </is>
      </c>
      <c r="J268" s="11" t="inlineStr">
        <is>
          <t>中</t>
        </is>
      </c>
      <c r="K268" s="8" t="inlineStr">
        <is>
          <t>装着スロット</t>
        </is>
      </c>
      <c r="L268" s="12" t="inlineStr">
        <is>
          <t>×</t>
        </is>
      </c>
      <c r="M268" s="13" t="inlineStr">
        <is>
          <t>装着システムが無い</t>
        </is>
      </c>
    </row>
    <row r="269" ht="33" customHeight="1">
      <c r="A269" s="7" t="n">
        <v>268</v>
      </c>
      <c r="B269" s="8" t="inlineStr">
        <is>
          <t>キーワード能力</t>
        </is>
      </c>
      <c r="C269" s="8" t="inlineStr">
        <is>
          <t>コスト・リソース</t>
        </is>
      </c>
      <c r="D269" s="9" t="inlineStr">
        <is>
          <t>探査</t>
        </is>
      </c>
      <c r="E269" s="10" t="inlineStr">
        <is>
          <t>Delve</t>
        </is>
      </c>
      <c r="F269" s="7" t="inlineStr">
        <is>
          <t>702.66</t>
        </is>
      </c>
      <c r="G269" s="8" t="inlineStr">
        <is>
          <t>唱える時、墓地のカードを1枚追放するごとに不特定マナ1点分を支払ったことにできる。</t>
        </is>
      </c>
      <c r="H269" s="8" t="inlineStr">
        <is>
          <t>未来予知 (2007)</t>
        </is>
      </c>
      <c r="I269" s="8" t="inlineStr">
        <is>
          <t>捨て札のカードを1枚廃棄するごとにエネルギー-1。捨て札が資源になり、捨て札を使う他のカードと資源の取り合いが起きる。</t>
        </is>
      </c>
      <c r="J269" s="11" t="inlineStr">
        <is>
          <t>中</t>
        </is>
      </c>
      <c r="K269" s="8" t="inlineStr">
        <is>
          <t>捨て札・廃棄</t>
        </is>
      </c>
      <c r="L269" s="12" t="inlineStr">
        <is>
          <t>△</t>
        </is>
      </c>
      <c r="M269" s="13" t="inlineStr">
        <is>
          <t>捨て札を除外してコスト軽減。動的コスト（親和）実装後に</t>
        </is>
      </c>
    </row>
    <row r="270" ht="41.5" customHeight="1">
      <c r="A270" s="7" t="n">
        <v>269</v>
      </c>
      <c r="B270" s="8" t="inlineStr">
        <is>
          <t>キーワード能力</t>
        </is>
      </c>
      <c r="C270" s="8" t="inlineStr">
        <is>
          <t>強化</t>
        </is>
      </c>
      <c r="D270" s="9" t="inlineStr">
        <is>
          <t>城砦化</t>
        </is>
      </c>
      <c r="E270" s="10" t="inlineStr">
        <is>
          <t>Fortify</t>
        </is>
      </c>
      <c r="F270" s="7" t="inlineStr">
        <is>
          <t>702.67</t>
        </is>
      </c>
      <c r="G270" s="8" t="inlineStr">
        <is>
          <t>コストを払って城砦を自分の土地に付けられる。装備の土地版。</t>
        </is>
      </c>
      <c r="H270" s="8" t="inlineStr">
        <is>
          <t>未来予知 (2007)</t>
        </is>
      </c>
      <c r="I270" s="8" t="inlineStr">
        <is>
          <t>装備の付け先をユニットでなく陣地や本体スロットにした版。自分の基盤（拠点HPやエネルギー源）を強化する装備として流用できる。</t>
        </is>
      </c>
      <c r="J270" s="11" t="inlineStr">
        <is>
          <t>中</t>
        </is>
      </c>
      <c r="K270" s="8" t="inlineStr">
        <is>
          <t>装着スロット</t>
        </is>
      </c>
      <c r="L270" s="12" t="inlineStr">
        <is>
          <t>×</t>
        </is>
      </c>
      <c r="M270" s="13" t="inlineStr">
        <is>
          <t>土地が前提</t>
        </is>
      </c>
    </row>
    <row r="271" ht="33" customHeight="1">
      <c r="A271" s="7" t="n">
        <v>270</v>
      </c>
      <c r="B271" s="8" t="inlineStr">
        <is>
          <t>キーワード能力</t>
        </is>
      </c>
      <c r="C271" s="8" t="inlineStr">
        <is>
          <t>条件ボーナス</t>
        </is>
      </c>
      <c r="D271" s="9" t="inlineStr">
        <is>
          <t>激情</t>
        </is>
      </c>
      <c r="E271" s="10" t="inlineStr">
        <is>
          <t>Frenzy</t>
        </is>
      </c>
      <c r="F271" s="7" t="inlineStr">
        <is>
          <t>702.68</t>
        </is>
      </c>
      <c r="G271" s="8" t="inlineStr">
        <is>
          <t>攻撃してブロックされなかった時、ターン終了時まで+N/+0される。</t>
        </is>
      </c>
      <c r="H271" s="8" t="inlineStr">
        <is>
          <t>未来予知 (2007)</t>
        </is>
      </c>
      <c r="I271" s="8" t="inlineStr">
        <is>
          <t>攻撃が防がれずに通った時だけダメージ+N。相手のブロック値が0の時に追加ダメージ、と言い換えればすぐ実装できる。</t>
        </is>
      </c>
      <c r="J271" s="11" t="inlineStr">
        <is>
          <t>高</t>
        </is>
      </c>
      <c r="K271" s="8" t="inlineStr">
        <is>
          <t>ブロック値</t>
        </is>
      </c>
      <c r="L271" s="12" t="inlineStr">
        <is>
          <t>◎</t>
        </is>
      </c>
      <c r="M271" s="13" t="inlineStr">
        <is>
          <t>【今回実装：キーワード『猛襲』（`onslaught`・バッチB）】（審査時は○）キーワード『猛襲N』：相手プレイヤーを攻撃するとき攻撃力+N。+N×2pt</t>
        </is>
      </c>
    </row>
    <row r="272" ht="25" customHeight="1">
      <c r="A272" s="7" t="n">
        <v>271</v>
      </c>
      <c r="B272" s="8" t="inlineStr">
        <is>
          <t>キーワード能力</t>
        </is>
      </c>
      <c r="C272" s="8" t="inlineStr">
        <is>
          <t>条件ボーナス</t>
        </is>
      </c>
      <c r="D272" s="9" t="inlineStr">
        <is>
          <t>墓地ストーム</t>
        </is>
      </c>
      <c r="E272" s="10" t="inlineStr">
        <is>
          <t>Gravestorm</t>
        </is>
      </c>
      <c r="F272" s="7" t="inlineStr">
        <is>
          <t>702.69</t>
        </is>
      </c>
      <c r="G272" s="8" t="inlineStr">
        <is>
          <t>唱えた時、このターンにパーマネントが墓地に置かれた数だけコピーが作られる。</t>
        </is>
      </c>
      <c r="H272" s="8" t="inlineStr">
        <is>
          <t>未来予知 (2007)</t>
        </is>
      </c>
      <c r="I272" s="8" t="inlineStr">
        <is>
          <t>このターン廃棄・破壊されたカードの枚数だけ効果を複製する。自傷系デッキの決め手になる。上限設定は必須。</t>
        </is>
      </c>
      <c r="J272" s="11" t="inlineStr">
        <is>
          <t>中</t>
        </is>
      </c>
      <c r="K272" s="8" t="inlineStr">
        <is>
          <t>使用履歴カウント</t>
        </is>
      </c>
      <c r="L272" s="12" t="inlineStr">
        <is>
          <t>◎</t>
        </is>
      </c>
      <c r="M272" s="13" t="inlineStr">
        <is>
          <t>【今回実装：このターンにモンスターが破壊された】今回実装 条件『このターンにモンスターが破壊された』monsterDestroyedThisTurn</t>
        </is>
      </c>
    </row>
    <row r="273" ht="41.5" customHeight="1">
      <c r="A273" s="7" t="n">
        <v>272</v>
      </c>
      <c r="B273" s="8" t="inlineStr">
        <is>
          <t>キーワード能力</t>
        </is>
      </c>
      <c r="C273" s="8" t="inlineStr">
        <is>
          <t>勝利条件</t>
        </is>
      </c>
      <c r="D273" s="9" t="inlineStr">
        <is>
          <t>有毒</t>
        </is>
      </c>
      <c r="E273" s="10" t="inlineStr">
        <is>
          <t>Poisonous</t>
        </is>
      </c>
      <c r="F273" s="7" t="inlineStr">
        <is>
          <t>702.70</t>
        </is>
      </c>
      <c r="G273" s="8" t="inlineStr">
        <is>
          <t>プレイヤーに戦闘ダメージを与えるたび、そのプレイヤーに毒カウンターをN個与える。</t>
        </is>
      </c>
      <c r="H273" s="8" t="inlineStr">
        <is>
          <t>未来予知 (2007)</t>
        </is>
      </c>
      <c r="I273" s="8" t="inlineStr">
        <is>
          <t>攻撃が本体に通るたび毒カウンターを付与し、10個で敗北という別の勝ち筋を作る。毎ターン減りながらダメージを与える継続毒として実装してもよい。</t>
        </is>
      </c>
      <c r="J273" s="11" t="inlineStr">
        <is>
          <t>高</t>
        </is>
      </c>
      <c r="K273" s="8" t="inlineStr">
        <is>
          <t>状態異常カウンター</t>
        </is>
      </c>
      <c r="L273" s="12" t="inlineStr">
        <is>
          <t>×</t>
        </is>
      </c>
      <c r="M273" s="13" t="inlineStr">
        <is>
          <t>既存：攻撃するたび＋毒（攻撃した相手）で作れる</t>
        </is>
      </c>
    </row>
    <row r="274" ht="25" customHeight="1">
      <c r="A274" s="7" t="n">
        <v>273</v>
      </c>
      <c r="B274" s="8" t="inlineStr">
        <is>
          <t>キーワード能力</t>
        </is>
      </c>
      <c r="C274" s="8" t="inlineStr">
        <is>
          <t>山札操作</t>
        </is>
      </c>
      <c r="D274" s="9" t="inlineStr">
        <is>
          <t>変形</t>
        </is>
      </c>
      <c r="E274" s="10" t="inlineStr">
        <is>
          <t>Transfigure</t>
        </is>
      </c>
      <c r="F274" s="7" t="inlineStr">
        <is>
          <t>702.71</t>
        </is>
      </c>
      <c r="G274" s="8" t="inlineStr">
        <is>
          <t>コストを払いこれを生け贄にすると、同じマナ総量のクリーチャー・カードを山札から探して戦場に出す。</t>
        </is>
      </c>
      <c r="H274" s="8" t="inlineStr">
        <is>
          <t>未来予知 (2007)</t>
        </is>
      </c>
      <c r="I274" s="8" t="inlineStr">
        <is>
          <t>場の常駐カードを廃棄し、同じコストのカードを山札から直接場に出す。コスト帯ごとの入れ替えや進化を演出できる。</t>
        </is>
      </c>
      <c r="J274" s="11" t="inlineStr">
        <is>
          <t>中</t>
        </is>
      </c>
      <c r="K274" s="8" t="inlineStr">
        <is>
          <t>山札サーチUI</t>
        </is>
      </c>
      <c r="L274" s="12" t="inlineStr">
        <is>
          <t>×</t>
        </is>
      </c>
      <c r="M274" s="13" t="inlineStr">
        <is>
          <t>山札から場に直接出す＋同コスト指定で重い</t>
        </is>
      </c>
    </row>
    <row r="275" ht="41.5" customHeight="1">
      <c r="A275" s="7" t="n">
        <v>274</v>
      </c>
      <c r="B275" s="8" t="inlineStr">
        <is>
          <t>キーワード能力</t>
        </is>
      </c>
      <c r="C275" s="8" t="inlineStr">
        <is>
          <t>コスト・リソース</t>
        </is>
      </c>
      <c r="D275" s="9" t="inlineStr">
        <is>
          <t>覇権</t>
        </is>
      </c>
      <c r="E275" s="10" t="inlineStr">
        <is>
          <t>Champion</t>
        </is>
      </c>
      <c r="F275" s="7" t="inlineStr">
        <is>
          <t>702.72</t>
        </is>
      </c>
      <c r="G275" s="8" t="inlineStr">
        <is>
          <t>出た時、指定タイプの自軍パーマネントを追放しなければ生け贄になる。これが離れると追放したものが戻る。</t>
        </is>
      </c>
      <c r="H275" s="8" t="inlineStr">
        <is>
          <t>ローウィン (2007)</t>
        </is>
      </c>
      <c r="I275" s="8" t="inlineStr">
        <is>
          <t>場に出す際に味方カード1枚を一時的に預かり、このカードが倒れると預けたカードが戻る。安く強い大型カードを作るための代償として使える。</t>
        </is>
      </c>
      <c r="J275" s="11" t="inlineStr">
        <is>
          <t>中</t>
        </is>
      </c>
      <c r="K275" s="8" t="inlineStr">
        <is>
          <t>常駐カード枠</t>
        </is>
      </c>
      <c r="L275" s="12" t="inlineStr">
        <is>
          <t>×</t>
        </is>
      </c>
      <c r="M275" s="13" t="inlineStr">
        <is>
          <t>一時追放と復帰の管理が重い</t>
        </is>
      </c>
    </row>
    <row r="276" ht="25" customHeight="1">
      <c r="A276" s="7" t="n">
        <v>275</v>
      </c>
      <c r="B276" s="8" t="inlineStr">
        <is>
          <t>キーワード能力</t>
        </is>
      </c>
      <c r="C276" s="8" t="inlineStr">
        <is>
          <t>デッキ構築</t>
        </is>
      </c>
      <c r="D276" s="9" t="inlineStr">
        <is>
          <t>多相</t>
        </is>
      </c>
      <c r="E276" s="10" t="inlineStr">
        <is>
          <t>Changeling</t>
        </is>
      </c>
      <c r="F276" s="7" t="inlineStr">
        <is>
          <t>702.73</t>
        </is>
      </c>
      <c r="G276" s="8" t="inlineStr">
        <is>
          <t>すべてのクリーチャー・タイプを持つ。どのタイプを参照する条件も満たせる。</t>
        </is>
      </c>
      <c r="H276" s="8" t="inlineStr">
        <is>
          <t>ローウィン (2007)</t>
        </is>
      </c>
      <c r="I276" s="8" t="inlineStr">
        <is>
          <t>全てのタグ（種族・系統）を持つワイルドカード。タグシナジーのある構築で潤滑油になる。レア枠に置くとよい。</t>
        </is>
      </c>
      <c r="J276" s="11" t="inlineStr">
        <is>
          <t>高</t>
        </is>
      </c>
      <c r="K276" s="8" t="inlineStr">
        <is>
          <t>カードタグ</t>
        </is>
      </c>
      <c r="L276" s="12" t="inlineStr">
        <is>
          <t>×</t>
        </is>
      </c>
      <c r="M276" s="13" t="inlineStr">
        <is>
          <t>種族タグが無い</t>
        </is>
      </c>
    </row>
    <row r="277" ht="37.5" customHeight="1">
      <c r="A277" s="7" t="n">
        <v>276</v>
      </c>
      <c r="B277" s="8" t="inlineStr">
        <is>
          <t>キーワード能力</t>
        </is>
      </c>
      <c r="C277" s="8" t="inlineStr">
        <is>
          <t>コスト・リソース</t>
        </is>
      </c>
      <c r="D277" s="9" t="inlineStr">
        <is>
          <t>想起</t>
        </is>
      </c>
      <c r="E277" s="10" t="inlineStr">
        <is>
          <t>Evoke</t>
        </is>
      </c>
      <c r="F277" s="7" t="inlineStr">
        <is>
          <t>702.74</t>
        </is>
      </c>
      <c r="G277" s="8" t="inlineStr">
        <is>
          <t>代替コストで唱えられるが、その場合は出た直後に生け贄になる。登場時の効果だけを使う手段。</t>
        </is>
      </c>
      <c r="H277" s="8" t="inlineStr">
        <is>
          <t>ローウィン (2007)</t>
        </is>
      </c>
      <c r="I277" s="8" t="inlineStr">
        <is>
          <t>安い代替コストで使うと設置効果だけを発動して即廃棄。常駐カードを単発カードとしても使える二択で、ポイントは両モードの合算で見積もる。</t>
        </is>
      </c>
      <c r="J277" s="11" t="inlineStr">
        <is>
          <t>中</t>
        </is>
      </c>
      <c r="K277" s="8" t="inlineStr">
        <is>
          <t>常駐カード枠</t>
        </is>
      </c>
      <c r="L277" s="12" t="inlineStr">
        <is>
          <t>△</t>
        </is>
      </c>
      <c r="M277" s="13" t="inlineStr">
        <is>
          <t>代替コストで召喚時効果だけ使う。二択の使い方UIが要るので保留</t>
        </is>
      </c>
    </row>
    <row r="278" ht="41.5" customHeight="1">
      <c r="A278" s="7" t="n">
        <v>277</v>
      </c>
      <c r="B278" s="8" t="inlineStr">
        <is>
          <t>キーワード能力</t>
        </is>
      </c>
      <c r="C278" s="8" t="inlineStr">
        <is>
          <t>山札操作</t>
        </is>
      </c>
      <c r="D278" s="9" t="inlineStr">
        <is>
          <t>秘匿</t>
        </is>
      </c>
      <c r="E278" s="10" t="inlineStr">
        <is>
          <t>Hideaway</t>
        </is>
      </c>
      <c r="F278" s="7" t="inlineStr">
        <is>
          <t>702.75</t>
        </is>
      </c>
      <c r="G278" s="8" t="inlineStr">
        <is>
          <t>出た時に山札の上N枚から1枚を裏向きで追放し、後で条件を満たすとそれを無料で唱えられる。</t>
        </is>
      </c>
      <c r="H278" s="8" t="inlineStr">
        <is>
          <t>ローウィン (2007)</t>
        </is>
      </c>
      <c r="I278" s="8" t="inlineStr">
        <is>
          <t>設置時に山札の上N枚から1枚を伏せて保管し、条件を満たすと無料で使う。デジタルなら伏せたカードを自分だけ見られる表示も簡単。</t>
        </is>
      </c>
      <c r="J278" s="11" t="inlineStr">
        <is>
          <t>中</t>
        </is>
      </c>
      <c r="K278" s="8" t="inlineStr">
        <is>
          <t>隠し情報管理</t>
        </is>
      </c>
      <c r="L278" s="12" t="inlineStr">
        <is>
          <t>×</t>
        </is>
      </c>
      <c r="M278" s="13" t="inlineStr">
        <is>
          <t>隠し情報と無料使用の条件管理が重い</t>
        </is>
      </c>
    </row>
    <row r="279" ht="25" customHeight="1">
      <c r="A279" s="7" t="n">
        <v>278</v>
      </c>
      <c r="B279" s="8" t="inlineStr">
        <is>
          <t>キーワード能力</t>
        </is>
      </c>
      <c r="C279" s="8" t="inlineStr">
        <is>
          <t>条件ボーナス</t>
        </is>
      </c>
      <c r="D279" s="9" t="inlineStr">
        <is>
          <t>徘徊</t>
        </is>
      </c>
      <c r="E279" s="10" t="inlineStr">
        <is>
          <t>Prowl</t>
        </is>
      </c>
      <c r="F279" s="7" t="inlineStr">
        <is>
          <t>702.76</t>
        </is>
      </c>
      <c r="G279" s="8" t="inlineStr">
        <is>
          <t>このターン同じタイプのクリーチャーが相手に戦闘ダメージを与えていれば、代替コストで唱えられる。</t>
        </is>
      </c>
      <c r="H279" s="8" t="inlineStr">
        <is>
          <t>モーニングタイド (2008)</t>
        </is>
      </c>
      <c r="I279" s="8" t="inlineStr">
        <is>
          <t>このターン同タグの攻撃カードで敵本体にダメージを通していれば、コストが下がる。タグ統一と攻撃順を評価する仕組み。</t>
        </is>
      </c>
      <c r="J279" s="11" t="inlineStr">
        <is>
          <t>高</t>
        </is>
      </c>
      <c r="K279" s="8" t="inlineStr">
        <is>
          <t>カードタグ</t>
        </is>
      </c>
      <c r="L279" s="12" t="inlineStr">
        <is>
          <t>×</t>
        </is>
      </c>
      <c r="M279" s="13" t="inlineStr">
        <is>
          <t>タグが無い。狂喜の条件に統合</t>
        </is>
      </c>
    </row>
    <row r="280" ht="33" customHeight="1">
      <c r="A280" s="7" t="n">
        <v>279</v>
      </c>
      <c r="B280" s="8" t="inlineStr">
        <is>
          <t>キーワード能力</t>
        </is>
      </c>
      <c r="C280" s="8" t="inlineStr">
        <is>
          <t>強化</t>
        </is>
      </c>
      <c r="D280" s="9" t="inlineStr">
        <is>
          <t>補強</t>
        </is>
      </c>
      <c r="E280" s="10" t="inlineStr">
        <is>
          <t>Reinforce</t>
        </is>
      </c>
      <c r="F280" s="7" t="inlineStr">
        <is>
          <t>702.77</t>
        </is>
      </c>
      <c r="G280" s="8" t="inlineStr">
        <is>
          <t>手札からこれを捨ててコストを払うと、クリーチャー1体に+1/+1カウンターをN個置ける。</t>
        </is>
      </c>
      <c r="H280" s="8" t="inlineStr">
        <is>
          <t>モーニングタイド (2008)</t>
        </is>
      </c>
      <c r="I280" s="8" t="inlineStr">
        <is>
          <t>手札から捨てる代わりに恒久強化を与える、もう1つの使い道。手札事故を防ぐサブモードとして安価に付けられる。</t>
        </is>
      </c>
      <c r="J280" s="11" t="inlineStr">
        <is>
          <t>高</t>
        </is>
      </c>
      <c r="K280" s="8" t="inlineStr">
        <is>
          <t>なし</t>
        </is>
      </c>
      <c r="L280" s="12" t="inlineStr">
        <is>
          <t>△</t>
        </is>
      </c>
      <c r="M280" s="13" t="inlineStr">
        <is>
          <t>サイクリング実装後の派生（手札から捨ててモンスター1体の攻撃力+N）</t>
        </is>
      </c>
    </row>
    <row r="281" ht="29" customHeight="1">
      <c r="A281" s="7" t="n">
        <v>280</v>
      </c>
      <c r="B281" s="8" t="inlineStr">
        <is>
          <t>キーワード能力</t>
        </is>
      </c>
      <c r="C281" s="8" t="inlineStr">
        <is>
          <t>反復・再利用</t>
        </is>
      </c>
      <c r="D281" s="9" t="inlineStr">
        <is>
          <t>共謀</t>
        </is>
      </c>
      <c r="E281" s="10" t="inlineStr">
        <is>
          <t>Conspire</t>
        </is>
      </c>
      <c r="F281" s="7" t="inlineStr">
        <is>
          <t>702.78</t>
        </is>
      </c>
      <c r="G281" s="8" t="inlineStr">
        <is>
          <t>唱える時、その呪文と色を共有するアンタップ状態のクリーチャー2体をタップすると、コピーが作られる。</t>
        </is>
      </c>
      <c r="H281" s="8" t="inlineStr">
        <is>
          <t>シャドウムーア (2008)</t>
        </is>
      </c>
      <c r="I281" s="8" t="inlineStr">
        <is>
          <t>同属性の常駐カード2枚を休ませると、使ったカードを1回複製する。展開とカード効果を結び付けるシナジーになる。</t>
        </is>
      </c>
      <c r="J281" s="11" t="inlineStr">
        <is>
          <t>中</t>
        </is>
      </c>
      <c r="K281" s="8" t="inlineStr">
        <is>
          <t>常駐カード枠</t>
        </is>
      </c>
      <c r="L281" s="12" t="inlineStr">
        <is>
          <t>×</t>
        </is>
      </c>
      <c r="M281" s="13" t="inlineStr">
        <is>
          <t>色・タップが前提</t>
        </is>
      </c>
    </row>
    <row r="282" ht="41.5" customHeight="1">
      <c r="A282" s="7" t="n">
        <v>281</v>
      </c>
      <c r="B282" s="8" t="inlineStr">
        <is>
          <t>キーワード能力</t>
        </is>
      </c>
      <c r="C282" s="8" t="inlineStr">
        <is>
          <t>反復・再利用</t>
        </is>
      </c>
      <c r="D282" s="9" t="inlineStr">
        <is>
          <t>頑強</t>
        </is>
      </c>
      <c r="E282" s="10" t="inlineStr">
        <is>
          <t>Persist</t>
        </is>
      </c>
      <c r="F282" s="7" t="inlineStr">
        <is>
          <t>702.79</t>
        </is>
      </c>
      <c r="G282" s="10" t="inlineStr">
        <is>
          <t>-1/-1カウンターがない状態で死亡すると、-1/-1カウンター付きで戦場に戻る。</t>
        </is>
      </c>
      <c r="H282" s="8" t="inlineStr">
        <is>
          <t>シャドウムーア (2008)</t>
        </is>
      </c>
      <c r="I282" s="10" t="inlineStr">
        <is>
          <t>1回倒れても弱体化して復活し、復活済みフラグがあれば二度目はない。デバフ解除カードと組むと無限復活になるので注意が必要。</t>
        </is>
      </c>
      <c r="J282" s="11" t="inlineStr">
        <is>
          <t>中</t>
        </is>
      </c>
      <c r="K282" s="8" t="inlineStr">
        <is>
          <t>常駐カード枠</t>
        </is>
      </c>
      <c r="L282" s="12" t="inlineStr">
        <is>
          <t>×</t>
        </is>
      </c>
      <c r="M282" s="13" t="inlineStr">
        <is>
          <t>既存：不屈</t>
        </is>
      </c>
    </row>
    <row r="283" ht="45.5" customHeight="1">
      <c r="A283" s="7" t="n">
        <v>282</v>
      </c>
      <c r="B283" s="8" t="inlineStr">
        <is>
          <t>キーワード能力</t>
        </is>
      </c>
      <c r="C283" s="8" t="inlineStr">
        <is>
          <t>除去</t>
        </is>
      </c>
      <c r="D283" s="9" t="inlineStr">
        <is>
          <t>萎縮</t>
        </is>
      </c>
      <c r="E283" s="10" t="inlineStr">
        <is>
          <t>Wither</t>
        </is>
      </c>
      <c r="F283" s="7" t="inlineStr">
        <is>
          <t>702.80</t>
        </is>
      </c>
      <c r="G283" s="8" t="inlineStr">
        <is>
          <t>クリーチャーへのダメージを-1/-1カウンターの形で与える。弱体化がずっと残る。</t>
        </is>
      </c>
      <c r="H283" s="8" t="inlineStr">
        <is>
          <t>シャドウムーア (2008)</t>
        </is>
      </c>
      <c r="I283" s="8" t="inlineStr">
        <is>
          <t>敵ユニットへのダメージを、最大HPや攻撃力の恒久的な減少として与える。ターンをまたいで回復しないので、CPUのボス戦で効く。</t>
        </is>
      </c>
      <c r="J283" s="11" t="inlineStr">
        <is>
          <t>中</t>
        </is>
      </c>
      <c r="K283" s="8" t="inlineStr">
        <is>
          <t>ステータス永続変更</t>
        </is>
      </c>
      <c r="L283" s="12" t="inlineStr">
        <is>
          <t>△</t>
        </is>
      </c>
      <c r="M283" s="13" t="inlineStr">
        <is>
          <t>修飾『萎縮』：モンスターへのダメージぶん最大体力も減る（修理で戻らない）。差が小さい</t>
        </is>
      </c>
    </row>
    <row r="284" ht="29" customHeight="1">
      <c r="A284" s="7" t="n">
        <v>283</v>
      </c>
      <c r="B284" s="8" t="inlineStr">
        <is>
          <t>キーワード能力</t>
        </is>
      </c>
      <c r="C284" s="8" t="inlineStr">
        <is>
          <t>墓地利用</t>
        </is>
      </c>
      <c r="D284" s="9" t="inlineStr">
        <is>
          <t>回顧</t>
        </is>
      </c>
      <c r="E284" s="10" t="inlineStr">
        <is>
          <t>Retrace</t>
        </is>
      </c>
      <c r="F284" s="7" t="inlineStr">
        <is>
          <t>702.81</t>
        </is>
      </c>
      <c r="G284" s="8" t="inlineStr">
        <is>
          <t>墓地にあるこのカードを、追加コストとして土地カードを1枚捨てることで唱えられる。</t>
        </is>
      </c>
      <c r="H284" s="8" t="inlineStr">
        <is>
          <t>イーブンタイド (2008)</t>
        </is>
      </c>
      <c r="I284" s="8" t="inlineStr">
        <is>
          <t>捨て札から、手札1枚を捨てる追加コストで何度でも使える。不要な呪いや状態異常カードを燃料にできる。</t>
        </is>
      </c>
      <c r="J284" s="11" t="inlineStr">
        <is>
          <t>中</t>
        </is>
      </c>
      <c r="K284" s="8" t="inlineStr">
        <is>
          <t>捨て札</t>
        </is>
      </c>
      <c r="L284" s="12" t="inlineStr">
        <is>
          <t>△</t>
        </is>
      </c>
      <c r="M284" s="13" t="inlineStr">
        <is>
          <t>フラッシュバックの派生（手札1枚を捨てて捨て札から使う）</t>
        </is>
      </c>
    </row>
    <row r="285" ht="29" customHeight="1">
      <c r="A285" s="7" t="n">
        <v>284</v>
      </c>
      <c r="B285" s="8" t="inlineStr">
        <is>
          <t>キーワード能力</t>
        </is>
      </c>
      <c r="C285" s="8" t="inlineStr">
        <is>
          <t>成長・カウンター</t>
        </is>
      </c>
      <c r="D285" s="9" t="inlineStr">
        <is>
          <t>貪食</t>
        </is>
      </c>
      <c r="E285" s="10" t="inlineStr">
        <is>
          <t>Devour</t>
        </is>
      </c>
      <c r="F285" s="7" t="inlineStr">
        <is>
          <t>702.82</t>
        </is>
      </c>
      <c r="G285" s="8" t="inlineStr">
        <is>
          <t>出る際に自軍クリーチャーを好きな数だけ生け贄にでき、1体ごとに+1/+1カウンターをN個置く。</t>
        </is>
      </c>
      <c r="H285" s="8" t="inlineStr">
        <is>
          <t>アラーラの断片 (2008)</t>
        </is>
      </c>
      <c r="I285" s="8" t="inlineStr">
        <is>
          <t>場の味方トークンや常駐カードを好きなだけ廃棄し、1枚ごとに強化される。トークン生成カードとセットで設計する。</t>
        </is>
      </c>
      <c r="J285" s="11" t="inlineStr">
        <is>
          <t>中</t>
        </is>
      </c>
      <c r="K285" s="8" t="inlineStr">
        <is>
          <t>常駐カード枠</t>
        </is>
      </c>
      <c r="L285" s="12" t="inlineStr">
        <is>
          <t>△</t>
        </is>
      </c>
      <c r="M285" s="13" t="inlineStr">
        <is>
          <t>自分のモンスターを任意数破壊する選択UIが要る</t>
        </is>
      </c>
    </row>
    <row r="286" ht="45.5" customHeight="1">
      <c r="A286" s="7" t="n">
        <v>285</v>
      </c>
      <c r="B286" s="8" t="inlineStr">
        <is>
          <t>キーワード能力</t>
        </is>
      </c>
      <c r="C286" s="8" t="inlineStr">
        <is>
          <t>条件ボーナス</t>
        </is>
      </c>
      <c r="D286" s="9" t="inlineStr">
        <is>
          <t>賛美</t>
        </is>
      </c>
      <c r="E286" s="10" t="inlineStr">
        <is>
          <t>Exalted</t>
        </is>
      </c>
      <c r="F286" s="7" t="inlineStr">
        <is>
          <t>702.83</t>
        </is>
      </c>
      <c r="G286" s="8" t="inlineStr">
        <is>
          <t>クリーチャーが単独で攻撃するたび、それはターン終了時まで+1/+1される。複数あると重ねがけできる。</t>
        </is>
      </c>
      <c r="H286" s="8" t="inlineStr">
        <is>
          <t>アラーラの断片 (2008)</t>
        </is>
      </c>
      <c r="I286" s="8" t="inlineStr">
        <is>
          <t>そのターン攻撃カードを1枚しか使わなかった時、その攻撃のダメージ+N。重ねるほど一撃型デッキが強くなる常駐パワーとして。</t>
        </is>
      </c>
      <c r="J286" s="11" t="inlineStr">
        <is>
          <t>高</t>
        </is>
      </c>
      <c r="K286" s="8" t="inlineStr">
        <is>
          <t>なし</t>
        </is>
      </c>
      <c r="L286" s="12" t="inlineStr">
        <is>
          <t>◎</t>
        </is>
      </c>
      <c r="M286" s="13" t="inlineStr">
        <is>
          <t>【今回実装：自分の場のモンスターが1体だけ】今回実装 条件『自分の場のモンスターが1体だけ』loneMonster</t>
        </is>
      </c>
    </row>
    <row r="287" ht="29" customHeight="1">
      <c r="A287" s="7" t="n">
        <v>286</v>
      </c>
      <c r="B287" s="8" t="inlineStr">
        <is>
          <t>キーワード能力</t>
        </is>
      </c>
      <c r="C287" s="8" t="inlineStr">
        <is>
          <t>墓地利用</t>
        </is>
      </c>
      <c r="D287" s="9" t="inlineStr">
        <is>
          <t>蘇生</t>
        </is>
      </c>
      <c r="E287" s="10" t="inlineStr">
        <is>
          <t>Unearth</t>
        </is>
      </c>
      <c r="F287" s="7" t="inlineStr">
        <is>
          <t>702.84</t>
        </is>
      </c>
      <c r="G287" s="8" t="inlineStr">
        <is>
          <t>コストを払って墓地から戦場に戻し、速攻を得る。ターン終了時か戦場を離れる時に追放される。</t>
        </is>
      </c>
      <c r="H287" s="8" t="inlineStr">
        <is>
          <t>アラーラの断片 (2008)</t>
        </is>
      </c>
      <c r="I287" s="8" t="inlineStr">
        <is>
          <t>捨て札のこのカードを1ターン限定で再使用し、使ったら廃棄する。終盤の一押しとして捨て札の再活用を促す。</t>
        </is>
      </c>
      <c r="J287" s="11" t="inlineStr">
        <is>
          <t>中</t>
        </is>
      </c>
      <c r="K287" s="8" t="inlineStr">
        <is>
          <t>捨て札・廃棄</t>
        </is>
      </c>
      <c r="L287" s="12" t="inlineStr">
        <is>
          <t>△</t>
        </is>
      </c>
      <c r="M287" s="13" t="inlineStr">
        <is>
          <t>既存：蘇生の派生（このカード自身を1ターンだけ戻す）</t>
        </is>
      </c>
    </row>
    <row r="288" ht="37.5" customHeight="1">
      <c r="A288" s="7" t="n">
        <v>287</v>
      </c>
      <c r="B288" s="8" t="inlineStr">
        <is>
          <t>キーワード能力</t>
        </is>
      </c>
      <c r="C288" s="8" t="inlineStr">
        <is>
          <t>山札操作</t>
        </is>
      </c>
      <c r="D288" s="9" t="inlineStr">
        <is>
          <t>続唱</t>
        </is>
      </c>
      <c r="E288" s="10" t="inlineStr">
        <is>
          <t>Cascade</t>
        </is>
      </c>
      <c r="F288" s="7" t="inlineStr">
        <is>
          <t>702.85</t>
        </is>
      </c>
      <c r="G288" s="8" t="inlineStr">
        <is>
          <t>唱えた時、これより軽い土地以外のカードが出るまで山札をめくり、それを無料で唱えられる。</t>
        </is>
      </c>
      <c r="H288" s="8" t="inlineStr">
        <is>
          <t>アラーラ再誕 (2009)</t>
        </is>
      </c>
      <c r="I288" s="8" t="inlineStr">
        <is>
          <t>使用時に山札から自分より低コストのカードが出るまでめくり、それを無料で使う。乱数のワクワク感が強く、デジタルのめくり演出に向く。</t>
        </is>
      </c>
      <c r="J288" s="11" t="inlineStr">
        <is>
          <t>中</t>
        </is>
      </c>
      <c r="K288" s="8" t="inlineStr">
        <is>
          <t>山札公開UI</t>
        </is>
      </c>
      <c r="L288" s="12" t="inlineStr">
        <is>
          <t>◎</t>
        </is>
      </c>
      <c r="M288" s="13" t="inlineStr">
        <is>
          <t>【今回実装：効果『続唱』（無料で使う）（`cascade`・バッチB）】（審査時は○）効果『続唱』：山札からこのカードより軽いカードが出るまでめくり無料で使う。対象自動選択が要る</t>
        </is>
      </c>
    </row>
    <row r="289" ht="29" customHeight="1">
      <c r="A289" s="7" t="n">
        <v>288</v>
      </c>
      <c r="B289" s="8" t="inlineStr">
        <is>
          <t>キーワード能力</t>
        </is>
      </c>
      <c r="C289" s="8" t="inlineStr">
        <is>
          <t>妨害</t>
        </is>
      </c>
      <c r="D289" s="9" t="inlineStr">
        <is>
          <t>滅殺</t>
        </is>
      </c>
      <c r="E289" s="10" t="inlineStr">
        <is>
          <t>Annihilator</t>
        </is>
      </c>
      <c r="F289" s="7" t="inlineStr">
        <is>
          <t>702.86</t>
        </is>
      </c>
      <c r="G289" s="8" t="inlineStr">
        <is>
          <t>攻撃するたび、防御側プレイヤーはパーマネントをN個生け贄にする。</t>
        </is>
      </c>
      <c r="H289" s="8" t="inlineStr">
        <is>
          <t>エルドラージ覚醒 (2010)</t>
        </is>
      </c>
      <c r="I289" s="8" t="inlineStr">
        <is>
          <t>攻撃のたびに相手の常駐カードか手札をN枚廃棄させる。非常に強いので、ボス敵や最高レアリティ専用にする。</t>
        </is>
      </c>
      <c r="J289" s="11" t="inlineStr">
        <is>
          <t>中</t>
        </is>
      </c>
      <c r="K289" s="8" t="inlineStr">
        <is>
          <t>常駐カード枠</t>
        </is>
      </c>
      <c r="L289" s="12" t="inlineStr">
        <is>
          <t>×</t>
        </is>
      </c>
      <c r="M289" s="13" t="inlineStr">
        <is>
          <t>本作は相手ターン中に相手の手札が無い。既存：ドロー妨害</t>
        </is>
      </c>
    </row>
    <row r="290" ht="37.5" customHeight="1">
      <c r="A290" s="7" t="n">
        <v>289</v>
      </c>
      <c r="B290" s="8" t="inlineStr">
        <is>
          <t>キーワード能力</t>
        </is>
      </c>
      <c r="C290" s="8" t="inlineStr">
        <is>
          <t>成長・カウンター</t>
        </is>
      </c>
      <c r="D290" s="14" t="inlineStr">
        <is>
          <t>Lvアップ</t>
        </is>
      </c>
      <c r="E290" s="10" t="inlineStr">
        <is>
          <t>Level up</t>
        </is>
      </c>
      <c r="F290" s="7" t="inlineStr">
        <is>
          <t>702.87</t>
        </is>
      </c>
      <c r="G290" s="8" t="inlineStr">
        <is>
          <t>ソーサリーのタイミングでコストを払うとレベル・カウンターが置かれ、レベル帯に応じて能力が強くなる。</t>
        </is>
      </c>
      <c r="H290" s="8" t="inlineStr">
        <is>
          <t>エルドラージ覚醒 (2010)</t>
        </is>
      </c>
      <c r="I290" s="8" t="inlineStr">
        <is>
          <t>常駐カードにエネルギーを注ぐたびにレベルが上がり、一定段階でステータスや効果が変わる。育成要素として相性が非常に良い。</t>
        </is>
      </c>
      <c r="J290" s="11" t="inlineStr">
        <is>
          <t>中</t>
        </is>
      </c>
      <c r="K290" s="8" t="inlineStr">
        <is>
          <t>カウンター表示</t>
        </is>
      </c>
      <c r="L290" s="12" t="inlineStr">
        <is>
          <t>△</t>
        </is>
      </c>
      <c r="M290" s="13" t="inlineStr">
        <is>
          <t>エナジーを注いで成長。起動型の操作が要るので保留</t>
        </is>
      </c>
    </row>
    <row r="291" ht="41.5" customHeight="1">
      <c r="A291" s="7" t="n">
        <v>290</v>
      </c>
      <c r="B291" s="8" t="inlineStr">
        <is>
          <t>キーワード能力</t>
        </is>
      </c>
      <c r="C291" s="8" t="inlineStr">
        <is>
          <t>反復・再利用</t>
        </is>
      </c>
      <c r="D291" s="9" t="inlineStr">
        <is>
          <t>反復</t>
        </is>
      </c>
      <c r="E291" s="10" t="inlineStr">
        <is>
          <t>Rebound</t>
        </is>
      </c>
      <c r="F291" s="7" t="inlineStr">
        <is>
          <t>702.88</t>
        </is>
      </c>
      <c r="G291" s="8" t="inlineStr">
        <is>
          <t>手札から唱えたら解決後に追放され、次の自分のアップキープにコストなしでもう一度唱えられる。</t>
        </is>
      </c>
      <c r="H291" s="8" t="inlineStr">
        <is>
          <t>エルドラージ覚醒 (2010)</t>
        </is>
      </c>
      <c r="I291" s="8" t="inlineStr">
        <is>
          <t>手札から使うと、次のターン開始時にもう一度自動で無料発動する。1枚で2回分の効果なので、ポイントは単発の約1.7倍が目安。</t>
        </is>
      </c>
      <c r="J291" s="11" t="inlineStr">
        <is>
          <t>中</t>
        </is>
      </c>
      <c r="K291" s="8" t="inlineStr">
        <is>
          <t>ターン開始処理</t>
        </is>
      </c>
      <c r="L291" s="12" t="inlineStr">
        <is>
          <t>◎</t>
        </is>
      </c>
      <c r="M291" s="13" t="inlineStr">
        <is>
          <t>【今回実装：カードの能力『反復』（`rebound`・バッチB）】（審査時は○）キーワード『反復』：使用後、次の自分のターン開始時に同じ効果がもう一度発動。基礎pt×0.7上乗せ</t>
        </is>
      </c>
    </row>
    <row r="292" ht="49.5" customHeight="1">
      <c r="A292" s="7" t="n">
        <v>291</v>
      </c>
      <c r="B292" s="8" t="inlineStr">
        <is>
          <t>キーワード能力</t>
        </is>
      </c>
      <c r="C292" s="8" t="inlineStr">
        <is>
          <t>防御</t>
        </is>
      </c>
      <c r="D292" s="9" t="inlineStr">
        <is>
          <t>陰影鎧（旧称：族霊鎧）</t>
        </is>
      </c>
      <c r="E292" s="10" t="inlineStr">
        <is>
          <t>Umbra armor (旧称 Totem armor)</t>
        </is>
      </c>
      <c r="F292" s="7" t="inlineStr">
        <is>
          <t>702.89</t>
        </is>
      </c>
      <c r="G292" s="8" t="inlineStr">
        <is>
          <t>付いているパーマネントが破壊される時、代わりにダメージを取り除き、このオーラを破壊する。</t>
        </is>
      </c>
      <c r="H292" s="8" t="inlineStr">
        <is>
          <t>エルドラージ覚醒 (2010)※改名はモダンホライゾン3 (2024)</t>
        </is>
      </c>
      <c r="I292" s="8" t="inlineStr">
        <is>
          <t>装着先が倒れる時、代わりに装着カードが壊れて身代わりになる。1回限りの守りとして装着系カードに付加価値を与えられる。</t>
        </is>
      </c>
      <c r="J292" s="11" t="inlineStr">
        <is>
          <t>中</t>
        </is>
      </c>
      <c r="K292" s="8" t="inlineStr">
        <is>
          <t>装着スロット</t>
        </is>
      </c>
      <c r="L292" s="12" t="inlineStr">
        <is>
          <t>×</t>
        </is>
      </c>
      <c r="M292" s="13" t="inlineStr">
        <is>
          <t>装着システムが無い</t>
        </is>
      </c>
    </row>
    <row r="293" ht="41.5" customHeight="1">
      <c r="A293" s="7" t="n">
        <v>292</v>
      </c>
      <c r="B293" s="8" t="inlineStr">
        <is>
          <t>キーワード能力</t>
        </is>
      </c>
      <c r="C293" s="8" t="inlineStr">
        <is>
          <t>勝利条件</t>
        </is>
      </c>
      <c r="D293" s="9" t="inlineStr">
        <is>
          <t>感染</t>
        </is>
      </c>
      <c r="E293" s="10" t="inlineStr">
        <is>
          <t>Infect</t>
        </is>
      </c>
      <c r="F293" s="7" t="inlineStr">
        <is>
          <t>702.90</t>
        </is>
      </c>
      <c r="G293" s="8" t="inlineStr">
        <is>
          <t>クリーチャーには-1/-1カウンター、プレイヤーには毒カウンターの形でダメージを与える。</t>
        </is>
      </c>
      <c r="H293" s="8" t="inlineStr">
        <is>
          <t>ミラディンの傷跡 (2010)</t>
        </is>
      </c>
      <c r="I293" s="8" t="inlineStr">
        <is>
          <t>ダメージをHPでなく毒カウンターで与え、10個で敗北。回復が効かない別の勝ち筋になる。ブロック値で防げるかどうかは設計で決める。</t>
        </is>
      </c>
      <c r="J293" s="11" t="inlineStr">
        <is>
          <t>中</t>
        </is>
      </c>
      <c r="K293" s="8" t="inlineStr">
        <is>
          <t>状態異常カウンター</t>
        </is>
      </c>
      <c r="L293" s="12" t="inlineStr">
        <is>
          <t>×</t>
        </is>
      </c>
      <c r="M293" s="13" t="inlineStr">
        <is>
          <t>別の勝ち筋は重い。既存：毒</t>
        </is>
      </c>
    </row>
    <row r="294" ht="29" customHeight="1">
      <c r="A294" s="7" t="n">
        <v>293</v>
      </c>
      <c r="B294" s="8" t="inlineStr">
        <is>
          <t>キーワード能力</t>
        </is>
      </c>
      <c r="C294" s="8" t="inlineStr">
        <is>
          <t>強化</t>
        </is>
      </c>
      <c r="D294" s="9" t="inlineStr">
        <is>
          <t>喊声</t>
        </is>
      </c>
      <c r="E294" s="10" t="inlineStr">
        <is>
          <t>Battle cry</t>
        </is>
      </c>
      <c r="F294" s="7" t="inlineStr">
        <is>
          <t>702.91</t>
        </is>
      </c>
      <c r="G294" s="8" t="inlineStr">
        <is>
          <t>攻撃するたび、他の攻撃しているクリーチャー全てをターン終了時まで+1/+0する。</t>
        </is>
      </c>
      <c r="H294" s="8" t="inlineStr">
        <is>
          <t>ミラディン包囲戦 (2011)</t>
        </is>
      </c>
      <c r="I294" s="8" t="inlineStr">
        <is>
          <t>このカードを使った後、このターンに使う他の攻撃カードのダメージ+1。多段攻撃や連打デッキの起点になる。</t>
        </is>
      </c>
      <c r="J294" s="11" t="inlineStr">
        <is>
          <t>高</t>
        </is>
      </c>
      <c r="K294" s="8" t="inlineStr">
        <is>
          <t>なし</t>
        </is>
      </c>
      <c r="L294" s="12" t="inlineStr">
        <is>
          <t>◎</t>
        </is>
      </c>
      <c r="M294" s="13" t="inlineStr">
        <is>
          <t>【今回実装：対象『自分の他のモンスター全体』（攻撃するたび＋一時強化＋この対象＝喊声）（`otherAllies`・バッチA）】（審査時は○）キーワード『鼓舞N』：攻撃するたび他の自分のモンスターの攻撃力+N（このターン）。+N×2pt</t>
        </is>
      </c>
    </row>
    <row r="295" ht="37.5" customHeight="1">
      <c r="A295" s="7" t="n">
        <v>294</v>
      </c>
      <c r="B295" s="8" t="inlineStr">
        <is>
          <t>キーワード能力</t>
        </is>
      </c>
      <c r="C295" s="8" t="inlineStr">
        <is>
          <t>展開・トークン</t>
        </is>
      </c>
      <c r="D295" s="9" t="inlineStr">
        <is>
          <t>生体武器</t>
        </is>
      </c>
      <c r="E295" s="10" t="inlineStr">
        <is>
          <t>Living weapon</t>
        </is>
      </c>
      <c r="F295" s="7" t="inlineStr">
        <is>
          <t>702.92</t>
        </is>
      </c>
      <c r="G295" s="8" t="inlineStr">
        <is>
          <t>出た時に0/0の黒の細菌トークンを生成し、この装備品をそれに付ける。</t>
        </is>
      </c>
      <c r="H295" s="8" t="inlineStr">
        <is>
          <t>ミラディン包囲戦 (2011)</t>
        </is>
      </c>
      <c r="I295" s="8" t="inlineStr">
        <is>
          <t>装備カードを場に出すと、空の器トークンが生まれて自動で装着される。装備者がいなくても装備カードが機能する救済策になる。</t>
        </is>
      </c>
      <c r="J295" s="11" t="inlineStr">
        <is>
          <t>中</t>
        </is>
      </c>
      <c r="K295" s="8" t="inlineStr">
        <is>
          <t>トークン生成</t>
        </is>
      </c>
      <c r="L295" s="12" t="inlineStr">
        <is>
          <t>×</t>
        </is>
      </c>
      <c r="M295" s="13" t="inlineStr">
        <is>
          <t>装備・トークンが前提</t>
        </is>
      </c>
    </row>
    <row r="296" ht="33" customHeight="1">
      <c r="A296" s="7" t="n">
        <v>295</v>
      </c>
      <c r="B296" s="8" t="inlineStr">
        <is>
          <t>キーワード能力</t>
        </is>
      </c>
      <c r="C296" s="8" t="inlineStr">
        <is>
          <t>反復・再利用</t>
        </is>
      </c>
      <c r="D296" s="9" t="inlineStr">
        <is>
          <t>不死</t>
        </is>
      </c>
      <c r="E296" s="10" t="inlineStr">
        <is>
          <t>Undying</t>
        </is>
      </c>
      <c r="F296" s="7" t="inlineStr">
        <is>
          <t>702.93</t>
        </is>
      </c>
      <c r="G296" s="10" t="inlineStr">
        <is>
          <t>+1/+1カウンターがない状態で死亡すると、+1/+1カウンター付きで戦場に戻る。</t>
        </is>
      </c>
      <c r="H296" s="8" t="inlineStr">
        <is>
          <t>闇の隆盛 (2012)</t>
        </is>
      </c>
      <c r="I296" s="10" t="inlineStr">
        <is>
          <t>1回倒れても強化されて復活し、強化済みなら二度目はない。頑強と対になる。CPU敵の第2形態の表現にも使える。</t>
        </is>
      </c>
      <c r="J296" s="11" t="inlineStr">
        <is>
          <t>中</t>
        </is>
      </c>
      <c r="K296" s="8" t="inlineStr">
        <is>
          <t>常駐カード枠</t>
        </is>
      </c>
      <c r="L296" s="12" t="inlineStr">
        <is>
          <t>×</t>
        </is>
      </c>
      <c r="M296" s="13" t="inlineStr">
        <is>
          <t>既存：不屈（undying）</t>
        </is>
      </c>
    </row>
    <row r="297" ht="37.5" customHeight="1">
      <c r="A297" s="7" t="n">
        <v>296</v>
      </c>
      <c r="B297" s="8" t="inlineStr">
        <is>
          <t>キーワード能力</t>
        </is>
      </c>
      <c r="C297" s="8" t="inlineStr">
        <is>
          <t>ドロー・手札</t>
        </is>
      </c>
      <c r="D297" s="9" t="inlineStr">
        <is>
          <t>奇跡</t>
        </is>
      </c>
      <c r="E297" s="10" t="inlineStr">
        <is>
          <t>Miracle</t>
        </is>
      </c>
      <c r="F297" s="7" t="inlineStr">
        <is>
          <t>702.94</t>
        </is>
      </c>
      <c r="G297" s="8" t="inlineStr">
        <is>
          <t>そのターンに最初に引いたカードなら、公開して軽い奇跡コストで唱えられる。</t>
        </is>
      </c>
      <c r="H297" s="8" t="inlineStr">
        <is>
          <t>アヴァシンの帰還 (2012)</t>
        </is>
      </c>
      <c r="I297" s="8" t="inlineStr">
        <is>
          <t>ターン最初のドローで引いた時だけ格安で即使用できる。ドロー順の乱数を活かす演出向きで、山札の上を操作するカードと組むと狙える。</t>
        </is>
      </c>
      <c r="J297" s="11" t="inlineStr">
        <is>
          <t>中</t>
        </is>
      </c>
      <c r="K297" s="8" t="inlineStr">
        <is>
          <t>ドロー処理</t>
        </is>
      </c>
      <c r="L297" s="12" t="inlineStr">
        <is>
          <t>◎</t>
        </is>
      </c>
      <c r="M297" s="13" t="inlineStr">
        <is>
          <t>【今回実装：タイミング『引いたとき』（`drawn`・バッチA）】（審査時は○）タイミング『引いたとき』（ターン開始のドロー含む）。寄生の仕組みを流用</t>
        </is>
      </c>
    </row>
    <row r="298" ht="41.5" customHeight="1">
      <c r="A298" s="7" t="n">
        <v>297</v>
      </c>
      <c r="B298" s="8" t="inlineStr">
        <is>
          <t>キーワード能力</t>
        </is>
      </c>
      <c r="C298" s="8" t="inlineStr">
        <is>
          <t>強化</t>
        </is>
      </c>
      <c r="D298" s="9" t="inlineStr">
        <is>
          <t>結魂</t>
        </is>
      </c>
      <c r="E298" s="10" t="inlineStr">
        <is>
          <t>Soulbond</t>
        </is>
      </c>
      <c r="F298" s="7" t="inlineStr">
        <is>
          <t>702.95</t>
        </is>
      </c>
      <c r="G298" s="8" t="inlineStr">
        <is>
          <t>これか他の自軍クリーチャーが出た時、組になっていない味方と組にでき、組の間は両方が追加の能力を得る。</t>
        </is>
      </c>
      <c r="H298" s="8" t="inlineStr">
        <is>
          <t>アヴァシンの帰還 (2012)</t>
        </is>
      </c>
      <c r="I298" s="8" t="inlineStr">
        <is>
          <t>場に出す際に既存の常駐カード1枚とリンクし、リンク中は双方に効果を付与。片方が除去されると効果が切れるため、単体付与より少し高めのポイントにする。</t>
        </is>
      </c>
      <c r="J298" s="11" t="inlineStr">
        <is>
          <t>中</t>
        </is>
      </c>
      <c r="K298" s="8" t="inlineStr">
        <is>
          <t>常駐カード枠</t>
        </is>
      </c>
      <c r="L298" s="12" t="inlineStr">
        <is>
          <t>×</t>
        </is>
      </c>
      <c r="M298" s="13" t="inlineStr">
        <is>
          <t>リンク管理が重い</t>
        </is>
      </c>
    </row>
    <row r="299" ht="37.5" customHeight="1">
      <c r="A299" s="7" t="n">
        <v>298</v>
      </c>
      <c r="B299" s="8" t="inlineStr">
        <is>
          <t>キーワード能力</t>
        </is>
      </c>
      <c r="C299" s="8" t="inlineStr">
        <is>
          <t>除去</t>
        </is>
      </c>
      <c r="D299" s="9" t="inlineStr">
        <is>
          <t>超過</t>
        </is>
      </c>
      <c r="E299" s="10" t="inlineStr">
        <is>
          <t>Overload</t>
        </is>
      </c>
      <c r="F299" s="7" t="inlineStr">
        <is>
          <t>702.96</t>
        </is>
      </c>
      <c r="G299" s="8" t="inlineStr">
        <is>
          <t>代替コストで唱えると、文中の対象1つが該当するものすべてに置き換わり、全体効果になる。</t>
        </is>
      </c>
      <c r="H299" s="8" t="inlineStr">
        <is>
          <t>ラヴニカへの回帰 (2012)</t>
        </is>
      </c>
      <c r="I299" s="8" t="inlineStr">
        <is>
          <t>単体対象カードに、追加エネルギーで敵全体に効果が及ぶ全体化オプションを付ける。ポイント表で単体から全体への倍率を定義しやすい。</t>
        </is>
      </c>
      <c r="J299" s="11" t="inlineStr">
        <is>
          <t>高</t>
        </is>
      </c>
      <c r="K299" s="8" t="inlineStr">
        <is>
          <t>エネルギー</t>
        </is>
      </c>
      <c r="L299" s="12" t="inlineStr">
        <is>
          <t>△</t>
        </is>
      </c>
      <c r="M299" s="13" t="inlineStr">
        <is>
          <t>対象を全体に切り替える二択。モード選択UIが要るので保留</t>
        </is>
      </c>
    </row>
    <row r="300" ht="41.5" customHeight="1">
      <c r="A300" s="7" t="n">
        <v>299</v>
      </c>
      <c r="B300" s="8" t="inlineStr">
        <is>
          <t>キーワード能力</t>
        </is>
      </c>
      <c r="C300" s="8" t="inlineStr">
        <is>
          <t>墓地利用</t>
        </is>
      </c>
      <c r="D300" s="9" t="inlineStr">
        <is>
          <t>活用</t>
        </is>
      </c>
      <c r="E300" s="10" t="inlineStr">
        <is>
          <t>Scavenge</t>
        </is>
      </c>
      <c r="F300" s="7" t="inlineStr">
        <is>
          <t>702.97</t>
        </is>
      </c>
      <c r="G300" s="8" t="inlineStr">
        <is>
          <t>墓地のこのクリーチャーを追放しコストを払うと、そのパワーに等しい+1/+1カウンターを他のクリーチャーに置ける。</t>
        </is>
      </c>
      <c r="H300" s="8" t="inlineStr">
        <is>
          <t>ラヴニカへの回帰 (2012)</t>
        </is>
      </c>
      <c r="I300" s="8" t="inlineStr">
        <is>
          <t>捨て札にあるカードを廃棄して、その攻撃力分の永続強化を味方ユニットや次の攻撃カードに移す。捨て札からの起動ボタンが必要。</t>
        </is>
      </c>
      <c r="J300" s="11" t="inlineStr">
        <is>
          <t>中</t>
        </is>
      </c>
      <c r="K300" s="8" t="inlineStr">
        <is>
          <t>捨て札・廃棄</t>
        </is>
      </c>
      <c r="L300" s="12" t="inlineStr">
        <is>
          <t>×</t>
        </is>
      </c>
      <c r="M300" s="13" t="inlineStr">
        <is>
          <t>捨て札からの起動が重い</t>
        </is>
      </c>
    </row>
    <row r="301" ht="41.5" customHeight="1">
      <c r="A301" s="7" t="n">
        <v>300</v>
      </c>
      <c r="B301" s="8" t="inlineStr">
        <is>
          <t>キーワード能力</t>
        </is>
      </c>
      <c r="C301" s="8" t="inlineStr">
        <is>
          <t>強化</t>
        </is>
      </c>
      <c r="D301" s="9" t="inlineStr">
        <is>
          <t>解鎖</t>
        </is>
      </c>
      <c r="E301" s="10" t="inlineStr">
        <is>
          <t>Unleash</t>
        </is>
      </c>
      <c r="F301" s="7" t="inlineStr">
        <is>
          <t>702.98</t>
        </is>
      </c>
      <c r="G301" s="10" t="inlineStr">
        <is>
          <t>+1/+1カウンター1個を置いて出すかを選べる。カウンターが載っている間はブロックできない。</t>
        </is>
      </c>
      <c r="H301" s="8" t="inlineStr">
        <is>
          <t>ラヴニカへの回帰 (2012)</t>
        </is>
      </c>
      <c r="I301" s="8" t="inlineStr">
        <is>
          <t>使用時に、攻撃+1だがブロック値を出せない強化版か通常版かを選ぶ二択カード。デメリット付きなので数値に対してポイントを安くできる。</t>
        </is>
      </c>
      <c r="J301" s="11" t="inlineStr">
        <is>
          <t>高</t>
        </is>
      </c>
      <c r="K301" s="8" t="inlineStr">
        <is>
          <t>なし</t>
        </is>
      </c>
      <c r="L301" s="12" t="inlineStr">
        <is>
          <t>△</t>
        </is>
      </c>
      <c r="M301" s="13" t="inlineStr">
        <is>
          <t>二択召喚。デメリット『防衛』と攻撃力アップで近いものが作れる</t>
        </is>
      </c>
    </row>
    <row r="302" ht="37.5" customHeight="1">
      <c r="A302" s="7" t="n">
        <v>301</v>
      </c>
      <c r="B302" s="8" t="inlineStr">
        <is>
          <t>キーワード能力</t>
        </is>
      </c>
      <c r="C302" s="8" t="inlineStr">
        <is>
          <t>反復・再利用</t>
        </is>
      </c>
      <c r="D302" s="9" t="inlineStr">
        <is>
          <t>暗号</t>
        </is>
      </c>
      <c r="E302" s="10" t="inlineStr">
        <is>
          <t>Cipher</t>
        </is>
      </c>
      <c r="F302" s="7" t="inlineStr">
        <is>
          <t>702.99</t>
        </is>
      </c>
      <c r="G302" s="8" t="inlineStr">
        <is>
          <t>解決後に自軍クリーチャーへ刻印でき、そのクリーチャーがプレイヤーに戦闘ダメージを与えるたびコピーを無料で唱えられる。</t>
        </is>
      </c>
      <c r="H302" s="8" t="inlineStr">
        <is>
          <t>ギルド門侵犯 (2013)</t>
        </is>
      </c>
      <c r="I302" s="8" t="inlineStr">
        <is>
          <t>使ったスキルカードを味方ユニットや装備に刻み、本体ダメージを通すたび再発動させる。刻んだ先が除去されるまで続くため高ポイント。</t>
        </is>
      </c>
      <c r="J302" s="11" t="inlineStr">
        <is>
          <t>中</t>
        </is>
      </c>
      <c r="K302" s="8" t="inlineStr">
        <is>
          <t>常駐カード枠</t>
        </is>
      </c>
      <c r="L302" s="12" t="inlineStr">
        <is>
          <t>×</t>
        </is>
      </c>
      <c r="M302" s="13" t="inlineStr">
        <is>
          <t>刻印と再発動の管理が重い</t>
        </is>
      </c>
    </row>
    <row r="303" ht="41.5" customHeight="1">
      <c r="A303" s="7" t="n">
        <v>302</v>
      </c>
      <c r="B303" s="8" t="inlineStr">
        <is>
          <t>キーワード能力</t>
        </is>
      </c>
      <c r="C303" s="8" t="inlineStr">
        <is>
          <t>成長・カウンター</t>
        </is>
      </c>
      <c r="D303" s="9" t="inlineStr">
        <is>
          <t>進化</t>
        </is>
      </c>
      <c r="E303" s="10" t="inlineStr">
        <is>
          <t>Evolve</t>
        </is>
      </c>
      <c r="F303" s="7" t="inlineStr">
        <is>
          <t>702.100</t>
        </is>
      </c>
      <c r="G303" s="8" t="inlineStr">
        <is>
          <t>パワーかタフネスがこれより大きい自軍クリーチャーが出るたび、+1/+1カウンターを1個置く。</t>
        </is>
      </c>
      <c r="H303" s="8" t="inlineStr">
        <is>
          <t>ギルド門侵犯 (2013)</t>
        </is>
      </c>
      <c r="I303" s="8" t="inlineStr">
        <is>
          <t>自分より数値の高いカードを場に出すたび永続+1されるユニット。デジタルなのでカード数値の永続書き換えも簡単に保存できる。</t>
        </is>
      </c>
      <c r="J303" s="11" t="inlineStr">
        <is>
          <t>高</t>
        </is>
      </c>
      <c r="K303" s="8" t="inlineStr">
        <is>
          <t>なし</t>
        </is>
      </c>
      <c r="L303" s="12" t="inlineStr">
        <is>
          <t>◎</t>
        </is>
      </c>
      <c r="M303" s="13" t="inlineStr">
        <is>
          <t>【今回実装：このモンスター・鍛錬】今回の要素で近似：出るたび＋鍛錬（このモンスター）。攻撃力の比較は省く</t>
        </is>
      </c>
    </row>
    <row r="304" ht="33" customHeight="1">
      <c r="A304" s="7" t="n">
        <v>303</v>
      </c>
      <c r="B304" s="8" t="inlineStr">
        <is>
          <t>キーワード能力</t>
        </is>
      </c>
      <c r="C304" s="8" t="inlineStr">
        <is>
          <t>コスト・リソース</t>
        </is>
      </c>
      <c r="D304" s="9" t="inlineStr">
        <is>
          <t>強請</t>
        </is>
      </c>
      <c r="E304" s="10" t="inlineStr">
        <is>
          <t>Extort</t>
        </is>
      </c>
      <c r="F304" s="7" t="inlineStr">
        <is>
          <t>702.101</t>
        </is>
      </c>
      <c r="G304" s="8" t="inlineStr">
        <is>
          <t>呪文を唱えるたび追加で(白/黒)を払えば、各対戦相手のライフを1点奪い、自分はその分回復する。</t>
        </is>
      </c>
      <c r="H304" s="8" t="inlineStr">
        <is>
          <t>ギルド門侵犯 (2013)</t>
        </is>
      </c>
      <c r="I304" s="8" t="inlineStr">
        <is>
          <t>カードを使うたび余ったエネルギー1で相手に1ダメージと自分1回復。余剰エネルギーの使い道として低ポイントで設計できる。</t>
        </is>
      </c>
      <c r="J304" s="11" t="inlineStr">
        <is>
          <t>高</t>
        </is>
      </c>
      <c r="K304" s="8" t="inlineStr">
        <is>
          <t>エネルギー</t>
        </is>
      </c>
      <c r="L304" s="12" t="inlineStr">
        <is>
          <t>×</t>
        </is>
      </c>
      <c r="M304" s="13" t="inlineStr">
        <is>
          <t>既存：タイミング「カードを使うたび」＋ダメージ＋修飾「吸収」で作れる。余剰エナジー支払いは不要</t>
        </is>
      </c>
    </row>
    <row r="305" ht="29" customHeight="1">
      <c r="A305" s="7" t="n">
        <v>304</v>
      </c>
      <c r="B305" s="8" t="inlineStr">
        <is>
          <t>キーワード能力</t>
        </is>
      </c>
      <c r="C305" s="8" t="inlineStr">
        <is>
          <t>その他</t>
        </is>
      </c>
      <c r="D305" s="9" t="inlineStr">
        <is>
          <t>融合</t>
        </is>
      </c>
      <c r="E305" s="10" t="inlineStr">
        <is>
          <t>Fuse</t>
        </is>
      </c>
      <c r="F305" s="7" t="inlineStr">
        <is>
          <t>702.102</t>
        </is>
      </c>
      <c r="G305" s="8" t="inlineStr">
        <is>
          <t>分割カードの両半分を、両方のコストを払って手札から同時に唱えられる。</t>
        </is>
      </c>
      <c r="H305" s="8" t="inlineStr">
        <is>
          <t>ドラゴンの迷路 (2013)</t>
        </is>
      </c>
      <c r="I305" s="10" t="inlineStr">
        <is>
          <t>1枚に2つの効果を載せ、片方だけ使うか、合計コストで両方使うかを選ぶ。ポイントは両効果の合計に柔軟性分を上乗せする。</t>
        </is>
      </c>
      <c r="J305" s="11" t="inlineStr">
        <is>
          <t>中</t>
        </is>
      </c>
      <c r="K305" s="8" t="inlineStr">
        <is>
          <t>なし</t>
        </is>
      </c>
      <c r="L305" s="12" t="inlineStr">
        <is>
          <t>△</t>
        </is>
      </c>
      <c r="M305" s="13" t="inlineStr">
        <is>
          <t>1枚に効果2組を持ち使用時にどちらか／両方（コスト合計）を選ぶ。選択UIとCPU選択が要る。合計pt+10%</t>
        </is>
      </c>
    </row>
    <row r="306" ht="37.5" customHeight="1">
      <c r="A306" s="7" t="n">
        <v>305</v>
      </c>
      <c r="B306" s="8" t="inlineStr">
        <is>
          <t>キーワード能力</t>
        </is>
      </c>
      <c r="C306" s="8" t="inlineStr">
        <is>
          <t>強化</t>
        </is>
      </c>
      <c r="D306" s="9" t="inlineStr">
        <is>
          <t>授与</t>
        </is>
      </c>
      <c r="E306" s="10" t="inlineStr">
        <is>
          <t>Bestow</t>
        </is>
      </c>
      <c r="F306" s="7" t="inlineStr">
        <is>
          <t>702.103</t>
        </is>
      </c>
      <c r="G306" s="8" t="inlineStr">
        <is>
          <t>クリーチャーとして出すか、オーラとして他のクリーチャーに付けるかを選べ、付け先が離れると単体で残る。</t>
        </is>
      </c>
      <c r="H306" s="8" t="inlineStr">
        <is>
          <t>テーロス (2013)</t>
        </is>
      </c>
      <c r="I306" s="8" t="inlineStr">
        <is>
          <t>ユニットとして出すか、既存ユニットへの装備として使うかを選べるカード。装備先が倒れても単体で残るので無駄になりにくい。</t>
        </is>
      </c>
      <c r="J306" s="11" t="inlineStr">
        <is>
          <t>中</t>
        </is>
      </c>
      <c r="K306" s="8" t="inlineStr">
        <is>
          <t>ユニット・装備</t>
        </is>
      </c>
      <c r="L306" s="12" t="inlineStr">
        <is>
          <t>×</t>
        </is>
      </c>
      <c r="M306" s="13" t="inlineStr">
        <is>
          <t>装備・オーラの仕組みが無い。付与のコストが重すぎる</t>
        </is>
      </c>
    </row>
    <row r="307" ht="41.5" customHeight="1">
      <c r="A307" s="7" t="n">
        <v>306</v>
      </c>
      <c r="B307" s="8" t="inlineStr">
        <is>
          <t>キーワード能力</t>
        </is>
      </c>
      <c r="C307" s="8" t="inlineStr">
        <is>
          <t>妨害</t>
        </is>
      </c>
      <c r="D307" s="9" t="inlineStr">
        <is>
          <t>貢納</t>
        </is>
      </c>
      <c r="E307" s="10" t="inlineStr">
        <is>
          <t>Tribute</t>
        </is>
      </c>
      <c r="F307" s="7" t="inlineStr">
        <is>
          <t>702.104</t>
        </is>
      </c>
      <c r="G307" s="8" t="inlineStr">
        <is>
          <t>出る際に対戦相手が、+1/+1カウンターN個を置くか、置かずに追加効果を起こさせるかを選ぶ。</t>
        </is>
      </c>
      <c r="H307" s="8" t="inlineStr">
        <is>
          <t>神々の軍勢 (2014)</t>
        </is>
      </c>
      <c r="I307" s="8" t="inlineStr">
        <is>
          <t>使用時に相手が数値強化と追加効果のどちらを許すか選ぶ。オンライン対戦では相手側に選択UIを出し、CPUは評価関数で選ばせる。</t>
        </is>
      </c>
      <c r="J307" s="11" t="inlineStr">
        <is>
          <t>中</t>
        </is>
      </c>
      <c r="K307" s="8" t="inlineStr">
        <is>
          <t>相手選択UI</t>
        </is>
      </c>
      <c r="L307" s="12" t="inlineStr">
        <is>
          <t>×</t>
        </is>
      </c>
      <c r="M307" s="13" t="inlineStr">
        <is>
          <t>相手のターン外選択（相手に選ばせる）が要り、オンラインでの割り込みになる</t>
        </is>
      </c>
    </row>
    <row r="308" ht="29" customHeight="1">
      <c r="A308" s="7" t="n">
        <v>307</v>
      </c>
      <c r="B308" s="8" t="inlineStr">
        <is>
          <t>キーワード能力</t>
        </is>
      </c>
      <c r="C308" s="8" t="inlineStr">
        <is>
          <t>条件ボーナス</t>
        </is>
      </c>
      <c r="D308" s="9" t="inlineStr">
        <is>
          <t>廃位</t>
        </is>
      </c>
      <c r="E308" s="10" t="inlineStr">
        <is>
          <t>Dethrone</t>
        </is>
      </c>
      <c r="F308" s="7" t="inlineStr">
        <is>
          <t>702.105</t>
        </is>
      </c>
      <c r="G308" s="8" t="inlineStr">
        <is>
          <t>ライフが最多（同点含む）のプレイヤーを攻撃するたび、+1/+1カウンターを1個置く。</t>
        </is>
      </c>
      <c r="H308" s="8" t="inlineStr">
        <is>
          <t>コンスピラシー (2014)</t>
        </is>
      </c>
      <c r="I308" s="8" t="inlineStr">
        <is>
          <t>相手HPが自分以上のときに攻撃すると攻撃力が永続+1。劣勢時の巻き返し要素として低ポイントで入れられる。</t>
        </is>
      </c>
      <c r="J308" s="11" t="inlineStr">
        <is>
          <t>高</t>
        </is>
      </c>
      <c r="K308" s="8" t="inlineStr">
        <is>
          <t>攻撃</t>
        </is>
      </c>
      <c r="L308" s="12" t="inlineStr">
        <is>
          <t>×</t>
        </is>
      </c>
      <c r="M308" s="13" t="inlineStr">
        <is>
          <t>既存：タイミング「攻撃するたび」＋条件「相手のHPが自分より多い」＋攻撃力アップ（このモンスター）で作れる</t>
        </is>
      </c>
    </row>
    <row r="309" ht="41.5" customHeight="1">
      <c r="A309" s="7" t="n">
        <v>308</v>
      </c>
      <c r="B309" s="8" t="inlineStr">
        <is>
          <t>キーワード能力</t>
        </is>
      </c>
      <c r="C309" s="8" t="inlineStr">
        <is>
          <t>条件ボーナス</t>
        </is>
      </c>
      <c r="D309" s="9" t="inlineStr">
        <is>
          <t>秘策</t>
        </is>
      </c>
      <c r="E309" s="10" t="inlineStr">
        <is>
          <t>Hidden agenda</t>
        </is>
      </c>
      <c r="F309" s="7" t="inlineStr">
        <is>
          <t>702.106</t>
        </is>
      </c>
      <c r="G309" s="8" t="inlineStr">
        <is>
          <t>陰謀カードを裏向きで統率領域に置き秘密にカード名を選ぶ。公開するとその名前のカードに効果が及ぶ。</t>
        </is>
      </c>
      <c r="H309" s="8" t="inlineStr">
        <is>
          <t>コンスピラシー (2014)</t>
        </is>
      </c>
      <c r="I309" s="8" t="inlineStr">
        <is>
          <t>試合開始時に秘密裏にカード1種を指名し、公開するとそのカードが強化される。指名内容はサーバー側で秘匿すれば簡単に実装できる。</t>
        </is>
      </c>
      <c r="J309" s="11" t="inlineStr">
        <is>
          <t>中</t>
        </is>
      </c>
      <c r="K309" s="8" t="inlineStr">
        <is>
          <t>隠し情報</t>
        </is>
      </c>
      <c r="L309" s="12" t="inlineStr">
        <is>
          <t>×</t>
        </is>
      </c>
      <c r="M309" s="13" t="inlineStr">
        <is>
          <t>隠し情報の宣言とカード名指定が要り、実装に対して面白さが薄い</t>
        </is>
      </c>
    </row>
    <row r="310" ht="29" customHeight="1">
      <c r="A310" s="7" t="n">
        <v>309</v>
      </c>
      <c r="B310" s="8" t="inlineStr">
        <is>
          <t>キーワード能力</t>
        </is>
      </c>
      <c r="C310" s="8" t="inlineStr">
        <is>
          <t>条件ボーナス</t>
        </is>
      </c>
      <c r="D310" s="9" t="inlineStr">
        <is>
          <t>両策</t>
        </is>
      </c>
      <c r="E310" s="10" t="inlineStr">
        <is>
          <t>Double agenda</t>
        </is>
      </c>
      <c r="F310" s="7" t="inlineStr">
        <is>
          <t>702.106</t>
        </is>
      </c>
      <c r="G310" s="8" t="inlineStr">
        <is>
          <t>秘策の変種で、秘密にカード名を2つ選ぶ。公開すると両方の名前のカードに効果が及ぶ。</t>
        </is>
      </c>
      <c r="H310" s="8" t="inlineStr">
        <is>
          <t>コンスピラシー：王位争奪 (2016)</t>
        </is>
      </c>
      <c r="I310" s="8" t="inlineStr">
        <is>
          <t>秘密指名を2種類にした上位版。引き当てやすくなる分、秘策版よりポイントを高めに設定する。</t>
        </is>
      </c>
      <c r="J310" s="11" t="inlineStr">
        <is>
          <t>中</t>
        </is>
      </c>
      <c r="K310" s="8" t="inlineStr">
        <is>
          <t>隠し情報</t>
        </is>
      </c>
      <c r="L310" s="12" t="inlineStr">
        <is>
          <t>×</t>
        </is>
      </c>
      <c r="M310" s="13" t="inlineStr">
        <is>
          <t>秘策と同じく隠し情報前提で重い</t>
        </is>
      </c>
    </row>
    <row r="311" ht="29" customHeight="1">
      <c r="A311" s="7" t="n">
        <v>310</v>
      </c>
      <c r="B311" s="8" t="inlineStr">
        <is>
          <t>キーワード能力</t>
        </is>
      </c>
      <c r="C311" s="8" t="inlineStr">
        <is>
          <t>成長・カウンター</t>
        </is>
      </c>
      <c r="D311" s="9" t="inlineStr">
        <is>
          <t>長久</t>
        </is>
      </c>
      <c r="E311" s="10" t="inlineStr">
        <is>
          <t>Outlast</t>
        </is>
      </c>
      <c r="F311" s="7" t="inlineStr">
        <is>
          <t>702.107</t>
        </is>
      </c>
      <c r="G311" s="8" t="inlineStr">
        <is>
          <t>コストを払いこれをタップすると+1/+1カウンターを1個置ける。ソーサリーのタイミングでのみ起動可。</t>
        </is>
      </c>
      <c r="H311" s="8" t="inlineStr">
        <is>
          <t>タルキール覇王譚 (2014)</t>
        </is>
      </c>
      <c r="I311" s="8" t="inlineStr">
        <is>
          <t>エネルギーを払い、そのユニットをこのターン行動済みにする代わりに永続+1。行動するか育てるかの二択を作れる。</t>
        </is>
      </c>
      <c r="J311" s="11" t="inlineStr">
        <is>
          <t>高</t>
        </is>
      </c>
      <c r="K311" s="8" t="inlineStr">
        <is>
          <t>エネルギー</t>
        </is>
      </c>
      <c r="L311" s="12" t="inlineStr">
        <is>
          <t>△</t>
        </is>
      </c>
      <c r="M311" s="13" t="inlineStr">
        <is>
          <t>起動型能力が無い。アレンジ：キーワード『鍛錬』攻撃しなかったターン終了時に攻撃力+N。+3pt/N</t>
        </is>
      </c>
    </row>
    <row r="312" ht="29" customHeight="1">
      <c r="A312" s="7" t="n">
        <v>311</v>
      </c>
      <c r="B312" s="8" t="inlineStr">
        <is>
          <t>キーワード能力</t>
        </is>
      </c>
      <c r="C312" s="8" t="inlineStr">
        <is>
          <t>強化</t>
        </is>
      </c>
      <c r="D312" s="9" t="inlineStr">
        <is>
          <t>果敢</t>
        </is>
      </c>
      <c r="E312" s="10" t="inlineStr">
        <is>
          <t>Prowess</t>
        </is>
      </c>
      <c r="F312" s="7" t="inlineStr">
        <is>
          <t>702.108</t>
        </is>
      </c>
      <c r="G312" s="8" t="inlineStr">
        <is>
          <t>クリーチャーでない呪文を唱えるたび、ターン終了時まで+1/+1を得る。</t>
        </is>
      </c>
      <c r="H312" s="8" t="inlineStr">
        <is>
          <t>タルキール覇王譚 (2014)</t>
        </is>
      </c>
      <c r="I312" s="8" t="inlineStr">
        <is>
          <t>スキル系カードを使うたび、このターンの攻撃力+1。カード種別の判定とターン内バフだけで作れる。</t>
        </is>
      </c>
      <c r="J312" s="11" t="inlineStr">
        <is>
          <t>高</t>
        </is>
      </c>
      <c r="K312" s="8" t="inlineStr">
        <is>
          <t>カード種別</t>
        </is>
      </c>
      <c r="L312" s="12" t="inlineStr">
        <is>
          <t>◎</t>
        </is>
      </c>
      <c r="M312" s="13" t="inlineStr">
        <is>
          <t>【今回実装：自分がスキルを使うたび・このモンスター・一時強化】今回の要素で作れる：タイミング『スキルを使うたび』＋効果『一時強化』（このモンスター）</t>
        </is>
      </c>
    </row>
    <row r="313" ht="25" customHeight="1">
      <c r="A313" s="7" t="n">
        <v>312</v>
      </c>
      <c r="B313" s="8" t="inlineStr">
        <is>
          <t>キーワード能力</t>
        </is>
      </c>
      <c r="C313" s="8" t="inlineStr">
        <is>
          <t>攻撃</t>
        </is>
      </c>
      <c r="D313" s="9" t="inlineStr">
        <is>
          <t>疾駆</t>
        </is>
      </c>
      <c r="E313" s="10" t="inlineStr">
        <is>
          <t>Dash</t>
        </is>
      </c>
      <c r="F313" s="7" t="inlineStr">
        <is>
          <t>702.109</t>
        </is>
      </c>
      <c r="G313" s="8" t="inlineStr">
        <is>
          <t>代替コストで唱えると速攻を得て、ターン終了時にオーナーの手札に戻る。</t>
        </is>
      </c>
      <c r="H313" s="8" t="inlineStr">
        <is>
          <t>運命再編 (2015)</t>
        </is>
      </c>
      <c r="I313" s="8" t="inlineStr">
        <is>
          <t>代替コストで出すと即行動でき、ターン終了時に手札へ戻る一時召喚。毎ターン使い回せる分、通常コストより割高にする。</t>
        </is>
      </c>
      <c r="J313" s="11" t="inlineStr">
        <is>
          <t>中</t>
        </is>
      </c>
      <c r="K313" s="8" t="inlineStr">
        <is>
          <t>ユニット</t>
        </is>
      </c>
      <c r="L313" s="12" t="inlineStr">
        <is>
          <t>◎</t>
        </is>
      </c>
      <c r="M313" s="13" t="inlineStr">
        <is>
          <t>【今回実装：寿命】今回の要素で作れる：速攻＋デメリット『寿命1』（使い捨て召喚）</t>
        </is>
      </c>
    </row>
    <row r="314" ht="29" customHeight="1">
      <c r="A314" s="7" t="n">
        <v>313</v>
      </c>
      <c r="B314" s="8" t="inlineStr">
        <is>
          <t>キーワード能力</t>
        </is>
      </c>
      <c r="C314" s="8" t="inlineStr">
        <is>
          <t>コスト・リソース</t>
        </is>
      </c>
      <c r="D314" s="9" t="inlineStr">
        <is>
          <t>濫用</t>
        </is>
      </c>
      <c r="E314" s="10" t="inlineStr">
        <is>
          <t>Exploit</t>
        </is>
      </c>
      <c r="F314" s="7" t="inlineStr">
        <is>
          <t>702.110</t>
        </is>
      </c>
      <c r="G314" s="8" t="inlineStr">
        <is>
          <t>出た時にクリーチャーを1体生け贄に捧げてよく、そうすると追加の効果が誘発する。</t>
        </is>
      </c>
      <c r="H314" s="8" t="inlineStr">
        <is>
          <t>タルキール龍紀伝 (2015)</t>
        </is>
      </c>
      <c r="I314" s="8" t="inlineStr">
        <is>
          <t>使用時に味方ユニット1体か手札1枚を廃棄すると追加効果。廃棄をコストとしてポイント割引に換算する。</t>
        </is>
      </c>
      <c r="J314" s="11" t="inlineStr">
        <is>
          <t>高</t>
        </is>
      </c>
      <c r="K314" s="8" t="inlineStr">
        <is>
          <t>廃棄ゾーン</t>
        </is>
      </c>
      <c r="L314" s="12" t="inlineStr">
        <is>
          <t>◎</t>
        </is>
      </c>
      <c r="M314" s="13" t="inlineStr">
        <is>
          <t>【今回実装：条件『自分のモンスター1体を生け贄にしたなら』（濫用）（`exploit`・バッチA）】（審査時は○）条件『生け贄』：使用時に自分のモンスター1体を破壊してよく、したら追加効果。選択UI要。倍率0.6</t>
        </is>
      </c>
    </row>
    <row r="315" ht="29" customHeight="1">
      <c r="A315" s="7" t="n">
        <v>314</v>
      </c>
      <c r="B315" s="8" t="inlineStr">
        <is>
          <t>キーワード能力</t>
        </is>
      </c>
      <c r="C315" s="8" t="inlineStr">
        <is>
          <t>回避</t>
        </is>
      </c>
      <c r="D315" s="9" t="inlineStr">
        <is>
          <t>威迫</t>
        </is>
      </c>
      <c r="E315" s="10" t="inlineStr">
        <is>
          <t>Menace</t>
        </is>
      </c>
      <c r="F315" s="7" t="inlineStr">
        <is>
          <t>702.111</t>
        </is>
      </c>
      <c r="G315" s="10" t="inlineStr">
        <is>
          <t>2体以上のクリーチャーでなければこのクリーチャーをブロックできない。</t>
        </is>
      </c>
      <c r="H315" s="8" t="inlineStr">
        <is>
          <t>マジック・オリジン (2015)</t>
        </is>
      </c>
      <c r="I315" s="8" t="inlineStr">
        <is>
          <t>一定値未満のブロックは無効になる攻撃。ブロック値の計算に閾値チェックを1つ足すだけで実装できる。</t>
        </is>
      </c>
      <c r="J315" s="11" t="inlineStr">
        <is>
          <t>高</t>
        </is>
      </c>
      <c r="K315" s="8" t="inlineStr">
        <is>
          <t>ブロック値</t>
        </is>
      </c>
      <c r="L315" s="12" t="inlineStr">
        <is>
          <t>◎</t>
        </is>
      </c>
      <c r="M315" s="13" t="inlineStr">
        <is>
          <t>【今回実装：キーワード『威圧』（`menace`・バッチB）】（審査時は○）次回：キーワード『威圧』（攻撃時に反撃を受けない）。今回は先制攻撃で一部代替</t>
        </is>
      </c>
    </row>
    <row r="316" ht="29" customHeight="1">
      <c r="A316" s="7" t="n">
        <v>315</v>
      </c>
      <c r="B316" s="8" t="inlineStr">
        <is>
          <t>キーワード能力</t>
        </is>
      </c>
      <c r="C316" s="8" t="inlineStr">
        <is>
          <t>成長・カウンター</t>
        </is>
      </c>
      <c r="D316" s="9" t="inlineStr">
        <is>
          <t>高名</t>
        </is>
      </c>
      <c r="E316" s="10" t="inlineStr">
        <is>
          <t>Renown</t>
        </is>
      </c>
      <c r="F316" s="7" t="inlineStr">
        <is>
          <t>702.112</t>
        </is>
      </c>
      <c r="G316" s="8" t="inlineStr">
        <is>
          <t>プレイヤーに戦闘ダメージを与えた時、まだ高名でなければ+1/+1カウンターN個を置き高名になる。</t>
        </is>
      </c>
      <c r="H316" s="8" t="inlineStr">
        <is>
          <t>マジック・オリジン (2015)</t>
        </is>
      </c>
      <c r="I316" s="8" t="inlineStr">
        <is>
          <t>初めて本体にダメージを通したときに一度だけ永続強化されるカード。高名フラグ1つで管理できる。</t>
        </is>
      </c>
      <c r="J316" s="11" t="inlineStr">
        <is>
          <t>高</t>
        </is>
      </c>
      <c r="K316" s="8" t="inlineStr">
        <is>
          <t>本体ダメージ</t>
        </is>
      </c>
      <c r="L316" s="12" t="inlineStr">
        <is>
          <t>◎</t>
        </is>
      </c>
      <c r="M316" s="13" t="inlineStr">
        <is>
          <t>【今回実装：相手プレイヤーにダメージを与えたとき・このモンスター・鍛錬】今回実装 タイミング『相手プレイヤーにダメージを与えたとき』＋鍛錬（このモンスター）で表現</t>
        </is>
      </c>
    </row>
    <row r="317" ht="33" customHeight="1">
      <c r="A317" s="7" t="n">
        <v>316</v>
      </c>
      <c r="B317" s="8" t="inlineStr">
        <is>
          <t>キーワード能力</t>
        </is>
      </c>
      <c r="C317" s="8" t="inlineStr">
        <is>
          <t>展開・トークン</t>
        </is>
      </c>
      <c r="D317" s="9" t="inlineStr">
        <is>
          <t>覚醒</t>
        </is>
      </c>
      <c r="E317" s="10" t="inlineStr">
        <is>
          <t>Awaken</t>
        </is>
      </c>
      <c r="F317" s="7" t="inlineStr">
        <is>
          <t>702.113</t>
        </is>
      </c>
      <c r="G317" s="8" t="inlineStr">
        <is>
          <t>代替コストで唱えると、自軍の土地1つに+1/+1カウンターN個を置き、速攻を持つクリーチャーにする。</t>
        </is>
      </c>
      <c r="H317" s="8" t="inlineStr">
        <is>
          <t>戦乱のゼンディカー (2015)</t>
        </is>
      </c>
      <c r="I317" s="8" t="inlineStr">
        <is>
          <t>高コスト版で使うと、普段は動かないエネルギー源などの常駐物が攻撃ユニットに変わる選択式アップグレード。</t>
        </is>
      </c>
      <c r="J317" s="11" t="inlineStr">
        <is>
          <t>中</t>
        </is>
      </c>
      <c r="K317" s="8" t="inlineStr">
        <is>
          <t>ユニット</t>
        </is>
      </c>
      <c r="L317" s="12" t="inlineStr">
        <is>
          <t>×</t>
        </is>
      </c>
      <c r="M317" s="13" t="inlineStr">
        <is>
          <t>土地前提</t>
        </is>
      </c>
    </row>
    <row r="318" ht="29" customHeight="1">
      <c r="A318" s="7" t="n">
        <v>317</v>
      </c>
      <c r="B318" s="8" t="inlineStr">
        <is>
          <t>キーワード能力</t>
        </is>
      </c>
      <c r="C318" s="8" t="inlineStr">
        <is>
          <t>ルール基盤</t>
        </is>
      </c>
      <c r="D318" s="9" t="inlineStr">
        <is>
          <t>欠色</t>
        </is>
      </c>
      <c r="E318" s="10" t="inlineStr">
        <is>
          <t>Devoid</t>
        </is>
      </c>
      <c r="F318" s="7" t="inlineStr">
        <is>
          <t>702.114</t>
        </is>
      </c>
      <c r="G318" s="8" t="inlineStr">
        <is>
          <t>マナ・コストに色マナが含まれていても、このカードは色を持たない。</t>
        </is>
      </c>
      <c r="H318" s="8" t="inlineStr">
        <is>
          <t>戦乱のゼンディカー (2015)</t>
        </is>
      </c>
      <c r="I318" s="8" t="inlineStr">
        <is>
          <t>属性やクラスの制度があるなら無属性タグを付け、属性を参照する効果の対象外にする。無属性シナジーの軸になる。</t>
        </is>
      </c>
      <c r="J318" s="11" t="inlineStr">
        <is>
          <t>高</t>
        </is>
      </c>
      <c r="K318" s="8" t="inlineStr">
        <is>
          <t>属性システム</t>
        </is>
      </c>
      <c r="L318" s="12" t="inlineStr">
        <is>
          <t>×</t>
        </is>
      </c>
      <c r="M318" s="13" t="inlineStr">
        <is>
          <t>色・属性の仕組みが無い</t>
        </is>
      </c>
    </row>
    <row r="319" ht="29" customHeight="1">
      <c r="A319" s="7" t="n">
        <v>318</v>
      </c>
      <c r="B319" s="8" t="inlineStr">
        <is>
          <t>キーワード能力</t>
        </is>
      </c>
      <c r="C319" s="8" t="inlineStr">
        <is>
          <t>山札操作</t>
        </is>
      </c>
      <c r="D319" s="9" t="inlineStr">
        <is>
          <t>嚥下</t>
        </is>
      </c>
      <c r="E319" s="10" t="inlineStr">
        <is>
          <t>Ingest</t>
        </is>
      </c>
      <c r="F319" s="7" t="inlineStr">
        <is>
          <t>702.115</t>
        </is>
      </c>
      <c r="G319" s="8" t="inlineStr">
        <is>
          <t>プレイヤーに戦闘ダメージを与えるたび、そのプレイヤーはライブラリーの一番上のカードを追放する。</t>
        </is>
      </c>
      <c r="H319" s="8" t="inlineStr">
        <is>
          <t>戦乱のゼンディカー (2015)</t>
        </is>
      </c>
      <c r="I319" s="8" t="inlineStr">
        <is>
          <t>本体攻撃が通るたび相手の山札上1枚を廃棄させる。山札削りや相手のキーカード妨害として使える。</t>
        </is>
      </c>
      <c r="J319" s="11" t="inlineStr">
        <is>
          <t>高</t>
        </is>
      </c>
      <c r="K319" s="8" t="inlineStr">
        <is>
          <t>本体ダメージ</t>
        </is>
      </c>
      <c r="L319" s="12" t="inlineStr">
        <is>
          <t>◎</t>
        </is>
      </c>
      <c r="M319" s="13" t="inlineStr">
        <is>
          <t>【今回実装：効果『切削』（相手）＋既存のタイミング『相手プレイヤーにダメージを与えたとき』（`mill`・バッチB）】（審査時は○）次回：タイミング hitEnemyPlayer＋効果『切削』で表現。循環式なので効きは弱い</t>
        </is>
      </c>
    </row>
    <row r="320" ht="29" customHeight="1">
      <c r="A320" s="7" t="n">
        <v>319</v>
      </c>
      <c r="B320" s="8" t="inlineStr">
        <is>
          <t>キーワード能力</t>
        </is>
      </c>
      <c r="C320" s="8" t="inlineStr">
        <is>
          <t>多人数・交流</t>
        </is>
      </c>
      <c r="D320" s="9" t="inlineStr">
        <is>
          <t>無尽</t>
        </is>
      </c>
      <c r="E320" s="10" t="inlineStr">
        <is>
          <t>Myriad</t>
        </is>
      </c>
      <c r="F320" s="7" t="inlineStr">
        <is>
          <t>702.116</t>
        </is>
      </c>
      <c r="G320" s="8" t="inlineStr">
        <is>
          <t>攻撃するたび、他の各対戦相手を攻撃しているトークン・コピーを出し、戦闘終了時に追放する。</t>
        </is>
      </c>
      <c r="H320" s="8" t="inlineStr">
        <is>
          <t>統率者2015 (2015)</t>
        </is>
      </c>
      <c r="I320" s="8" t="inlineStr">
        <is>
          <t>多人数戦では全員に分身が攻撃する。1対1やCPU戦では、敵が複数いるときに各敵へ分身が攻撃する形に置き換える。</t>
        </is>
      </c>
      <c r="J320" s="11" t="inlineStr">
        <is>
          <t>中</t>
        </is>
      </c>
      <c r="K320" s="8" t="inlineStr">
        <is>
          <t>複数の敵</t>
        </is>
      </c>
      <c r="L320" s="12" t="inlineStr">
        <is>
          <t>×</t>
        </is>
      </c>
      <c r="M320" s="13" t="inlineStr">
        <is>
          <t>多人数前提</t>
        </is>
      </c>
    </row>
    <row r="321" ht="29" customHeight="1">
      <c r="A321" s="7" t="n">
        <v>320</v>
      </c>
      <c r="B321" s="8" t="inlineStr">
        <is>
          <t>キーワード能力</t>
        </is>
      </c>
      <c r="C321" s="8" t="inlineStr">
        <is>
          <t>コスト・リソース</t>
        </is>
      </c>
      <c r="D321" s="9" t="inlineStr">
        <is>
          <t>怒濤</t>
        </is>
      </c>
      <c r="E321" s="10" t="inlineStr">
        <is>
          <t>Surge</t>
        </is>
      </c>
      <c r="F321" s="7" t="inlineStr">
        <is>
          <t>702.117</t>
        </is>
      </c>
      <c r="G321" s="8" t="inlineStr">
        <is>
          <t>このターンに自分かチームメイトが既に呪文を唱えていれば、代替コストで唱えられる。</t>
        </is>
      </c>
      <c r="H321" s="8" t="inlineStr">
        <is>
          <t>ゲートウォッチの誓い (2016)</t>
        </is>
      </c>
      <c r="I321" s="8" t="inlineStr">
        <is>
          <t>同じターンの2枚目以降に使うとコストが割引される。ターン内のカード使用数を参照するだけで連続使用を促せる。</t>
        </is>
      </c>
      <c r="J321" s="11" t="inlineStr">
        <is>
          <t>高</t>
        </is>
      </c>
      <c r="K321" s="8" t="inlineStr">
        <is>
          <t>使用枚数カウンタ</t>
        </is>
      </c>
      <c r="L321" s="12" t="inlineStr">
        <is>
          <t>◎</t>
        </is>
      </c>
      <c r="M321" s="13" t="inlineStr">
        <is>
          <t>【今回実装：カードの能力『条件付き軽減』＋条件『このターン2枚目以降に使う』（怒濤）（`costCut`・バッチC1）】（審査時は○）カードの『条件付きコスト軽減』：このターン2枚目以降ならコスト−1（条件は既存のnthCard系を流用）。+8pt</t>
        </is>
      </c>
    </row>
    <row r="322" ht="29" customHeight="1">
      <c r="A322" s="7" t="n">
        <v>321</v>
      </c>
      <c r="B322" s="8" t="inlineStr">
        <is>
          <t>キーワード能力</t>
        </is>
      </c>
      <c r="C322" s="8" t="inlineStr">
        <is>
          <t>回避</t>
        </is>
      </c>
      <c r="D322" s="9" t="inlineStr">
        <is>
          <t>潜伏</t>
        </is>
      </c>
      <c r="E322" s="10" t="inlineStr">
        <is>
          <t>Skulk</t>
        </is>
      </c>
      <c r="F322" s="7" t="inlineStr">
        <is>
          <t>702.118</t>
        </is>
      </c>
      <c r="G322" s="8" t="inlineStr">
        <is>
          <t>このクリーチャーより大きいパワーを持つクリーチャーにはブロックされない。</t>
        </is>
      </c>
      <c r="H322" s="8" t="inlineStr">
        <is>
          <t>イニストラードを覆う影 (2016)</t>
        </is>
      </c>
      <c r="I322" s="8" t="inlineStr">
        <is>
          <t>攻撃力が低いほど通りやすい攻撃。相手ブロック値が攻撃力を上回るときはブロックを無視する、などに置き換える。</t>
        </is>
      </c>
      <c r="J322" s="11" t="inlineStr">
        <is>
          <t>高</t>
        </is>
      </c>
      <c r="K322" s="8" t="inlineStr">
        <is>
          <t>ブロック値</t>
        </is>
      </c>
      <c r="L322" s="12" t="inlineStr">
        <is>
          <t>△</t>
        </is>
      </c>
      <c r="M322" s="13" t="inlineStr">
        <is>
          <t>ブロック前提。アレンジ：自分より攻撃力が高いモンスターしかいなければ挑発を無視して攻撃できる</t>
        </is>
      </c>
    </row>
    <row r="323" ht="29" customHeight="1">
      <c r="A323" s="7" t="n">
        <v>322</v>
      </c>
      <c r="B323" s="8" t="inlineStr">
        <is>
          <t>キーワード能力</t>
        </is>
      </c>
      <c r="C323" s="8" t="inlineStr">
        <is>
          <t>コスト・リソース</t>
        </is>
      </c>
      <c r="D323" s="9" t="inlineStr">
        <is>
          <t>現出</t>
        </is>
      </c>
      <c r="E323" s="10" t="inlineStr">
        <is>
          <t>Emerge</t>
        </is>
      </c>
      <c r="F323" s="7" t="inlineStr">
        <is>
          <t>702.119</t>
        </is>
      </c>
      <c r="G323" s="8" t="inlineStr">
        <is>
          <t>クリーチャーを1体生け贄にし、そのマナ総量だけ減らした代替コストで唱えられる。</t>
        </is>
      </c>
      <c r="H323" s="8" t="inlineStr">
        <is>
          <t>異界月 (2016)</t>
        </is>
      </c>
      <c r="I323" s="8" t="inlineStr">
        <is>
          <t>場の味方ユニットを生贄にすると、そのコスト分だけ割引される。ユニットの入れ替えを戦略に組み込める。</t>
        </is>
      </c>
      <c r="J323" s="11" t="inlineStr">
        <is>
          <t>中</t>
        </is>
      </c>
      <c r="K323" s="8" t="inlineStr">
        <is>
          <t>ユニット</t>
        </is>
      </c>
      <c r="L323" s="12" t="inlineStr">
        <is>
          <t>△</t>
        </is>
      </c>
      <c r="M323" s="13" t="inlineStr">
        <is>
          <t>生け贄＋コスト軽減。生け贄の仕組みができたら「破壊したモンスターのコスト分軽減」で</t>
        </is>
      </c>
    </row>
    <row r="324" ht="29" customHeight="1">
      <c r="A324" s="7" t="n">
        <v>323</v>
      </c>
      <c r="B324" s="8" t="inlineStr">
        <is>
          <t>キーワード能力</t>
        </is>
      </c>
      <c r="C324" s="8" t="inlineStr">
        <is>
          <t>その他</t>
        </is>
      </c>
      <c r="D324" s="9" t="inlineStr">
        <is>
          <t>増呪</t>
        </is>
      </c>
      <c r="E324" s="10" t="inlineStr">
        <is>
          <t>Escalate</t>
        </is>
      </c>
      <c r="F324" s="7" t="inlineStr">
        <is>
          <t>702.120</t>
        </is>
      </c>
      <c r="G324" s="8" t="inlineStr">
        <is>
          <t>モードを複数選べ、1つ目を超えるモードごとに追加コストを払う。</t>
        </is>
      </c>
      <c r="H324" s="8" t="inlineStr">
        <is>
          <t>異界月 (2016)</t>
        </is>
      </c>
      <c r="I324" s="8" t="inlineStr">
        <is>
          <t>複数の効果候補から選び、追加エネルギーを払うごとに効果を足せる。ポイント制と相性がよく、効果ごとの単価を決めるだけ。</t>
        </is>
      </c>
      <c r="J324" s="11" t="inlineStr">
        <is>
          <t>高</t>
        </is>
      </c>
      <c r="K324" s="8" t="inlineStr">
        <is>
          <t>エネルギー</t>
        </is>
      </c>
      <c r="L324" s="12" t="inlineStr">
        <is>
          <t>△</t>
        </is>
      </c>
      <c r="M324" s="13" t="inlineStr">
        <is>
          <t>モード選択＋追加エナジー支払いのUIが要る。放題・段階とまとめて『追加払い』として検討</t>
        </is>
      </c>
    </row>
    <row r="325" ht="29" customHeight="1">
      <c r="A325" s="7" t="n">
        <v>324</v>
      </c>
      <c r="B325" s="8" t="inlineStr">
        <is>
          <t>キーワード能力</t>
        </is>
      </c>
      <c r="C325" s="8" t="inlineStr">
        <is>
          <t>多人数・交流</t>
        </is>
      </c>
      <c r="D325" s="9" t="inlineStr">
        <is>
          <t>会戦</t>
        </is>
      </c>
      <c r="E325" s="10" t="inlineStr">
        <is>
          <t>Melee</t>
        </is>
      </c>
      <c r="F325" s="7" t="inlineStr">
        <is>
          <t>702.121</t>
        </is>
      </c>
      <c r="G325" s="8" t="inlineStr">
        <is>
          <t>攻撃するたび、このターンに攻撃された対戦相手の数だけ+1/+1を得る。</t>
        </is>
      </c>
      <c r="H325" s="8" t="inlineStr">
        <is>
          <t>コンスピラシー：王位争奪 (2016)</t>
        </is>
      </c>
      <c r="I325" s="8" t="inlineStr">
        <is>
          <t>多人数戦では攻撃先の数に応じて攻撃力増。1対1なら、このターンの攻撃回数分だけ上がる形に読み替える。</t>
        </is>
      </c>
      <c r="J325" s="11" t="inlineStr">
        <is>
          <t>高</t>
        </is>
      </c>
      <c r="K325" s="8" t="inlineStr">
        <is>
          <t>攻撃</t>
        </is>
      </c>
      <c r="L325" s="12" t="inlineStr">
        <is>
          <t>×</t>
        </is>
      </c>
      <c r="M325" s="13" t="inlineStr">
        <is>
          <t>多人数前提。1対1の読み替えは二回攻撃と大差ない</t>
        </is>
      </c>
    </row>
    <row r="326" ht="29" customHeight="1">
      <c r="A326" s="7" t="n">
        <v>325</v>
      </c>
      <c r="B326" s="8" t="inlineStr">
        <is>
          <t>キーワード能力</t>
        </is>
      </c>
      <c r="C326" s="8" t="inlineStr">
        <is>
          <t>コスト・リソース</t>
        </is>
      </c>
      <c r="D326" s="9" t="inlineStr">
        <is>
          <t>搭乗</t>
        </is>
      </c>
      <c r="E326" s="10" t="inlineStr">
        <is>
          <t>Crew</t>
        </is>
      </c>
      <c r="F326" s="7" t="inlineStr">
        <is>
          <t>702.122</t>
        </is>
      </c>
      <c r="G326" s="8" t="inlineStr">
        <is>
          <t>パワー合計N以上の自軍クリーチャーをタップすると、この機体はターン終了時までクリーチャーになる。</t>
        </is>
      </c>
      <c r="H326" s="8" t="inlineStr">
        <is>
          <t>カラデシュ (2016)</t>
        </is>
      </c>
      <c r="I326" s="8" t="inlineStr">
        <is>
          <t>強力な兵器カードを動かすには他ユニットを行動済みにする必要がある。行動回数を別カードに振り替える仕組み。</t>
        </is>
      </c>
      <c r="J326" s="11" t="inlineStr">
        <is>
          <t>中</t>
        </is>
      </c>
      <c r="K326" s="8" t="inlineStr">
        <is>
          <t>ユニット</t>
        </is>
      </c>
      <c r="L326" s="12" t="inlineStr">
        <is>
          <t>×</t>
        </is>
      </c>
      <c r="M326" s="13" t="inlineStr">
        <is>
          <t>タップ（行動済み）を他に振り替える仕組みが無く、重い</t>
        </is>
      </c>
    </row>
    <row r="327" ht="33" customHeight="1">
      <c r="A327" s="7" t="n">
        <v>326</v>
      </c>
      <c r="B327" s="8" t="inlineStr">
        <is>
          <t>キーワード能力</t>
        </is>
      </c>
      <c r="C327" s="8" t="inlineStr">
        <is>
          <t>展開・トークン</t>
        </is>
      </c>
      <c r="D327" s="9" t="inlineStr">
        <is>
          <t>製造</t>
        </is>
      </c>
      <c r="E327" s="10" t="inlineStr">
        <is>
          <t>Fabricate</t>
        </is>
      </c>
      <c r="F327" s="7" t="inlineStr">
        <is>
          <t>702.123</t>
        </is>
      </c>
      <c r="G327" s="8" t="inlineStr">
        <is>
          <t>出た時、+1/+1カウンターN個を置くか、1/1の霊気装置トークンN体を出すかを選ぶ。</t>
        </is>
      </c>
      <c r="H327" s="8" t="inlineStr">
        <is>
          <t>カラデシュ (2016)</t>
        </is>
      </c>
      <c r="I327" s="8" t="inlineStr">
        <is>
          <t>使用時に本体強化か小型トークン生成かを選ぶ。状況に応じて使えるので、その柔軟性分をポイントに加算する。</t>
        </is>
      </c>
      <c r="J327" s="11" t="inlineStr">
        <is>
          <t>高</t>
        </is>
      </c>
      <c r="K327" s="8" t="inlineStr">
        <is>
          <t>トークン</t>
        </is>
      </c>
      <c r="L327" s="12" t="inlineStr">
        <is>
          <t>◎</t>
        </is>
      </c>
      <c r="M327" s="13" t="inlineStr">
        <is>
          <t>【今回実装：モード選択（鍛錬／トークン生成を選ぶ＝製造）（`modes`・バッチC2）】（審査時は○）効果『トークン生成』とセット：召喚時に「攻撃力/体力+N」か「1/1の小鬼N体」を選ぶ。選択UI要</t>
        </is>
      </c>
    </row>
    <row r="328" ht="29" customHeight="1">
      <c r="A328" s="7" t="n">
        <v>327</v>
      </c>
      <c r="B328" s="8" t="inlineStr">
        <is>
          <t>キーワード能力</t>
        </is>
      </c>
      <c r="C328" s="8" t="inlineStr">
        <is>
          <t>デッキ構築</t>
        </is>
      </c>
      <c r="D328" s="9" t="inlineStr">
        <is>
          <t>共闘</t>
        </is>
      </c>
      <c r="E328" s="10" t="inlineStr">
        <is>
          <t>Partner</t>
        </is>
      </c>
      <c r="F328" s="7" t="inlineStr">
        <is>
          <t>702.124</t>
        </is>
      </c>
      <c r="G328" s="8" t="inlineStr">
        <is>
          <t>統率者戦で、共闘を持つ伝説のクリーチャー2体を一緒に統率者にできる。</t>
        </is>
      </c>
      <c r="H328" s="8" t="inlineStr">
        <is>
          <t>統率者2016 (2016)</t>
        </is>
      </c>
      <c r="I328" s="8" t="inlineStr">
        <is>
          <t>リーダー制を採るなら、共闘タグを持つリーダー2人を同時に選べるようにする。判定はデッキ構築画面だけで済む。</t>
        </is>
      </c>
      <c r="J328" s="11" t="inlineStr">
        <is>
          <t>中</t>
        </is>
      </c>
      <c r="K328" s="8" t="inlineStr">
        <is>
          <t>リーダー制</t>
        </is>
      </c>
      <c r="L328" s="12" t="inlineStr">
        <is>
          <t>×</t>
        </is>
      </c>
      <c r="M328" s="13" t="inlineStr">
        <is>
          <t>統率者・リーダー制が無い</t>
        </is>
      </c>
    </row>
    <row r="329" ht="29" customHeight="1">
      <c r="A329" s="7" t="n">
        <v>328</v>
      </c>
      <c r="B329" s="8" t="inlineStr">
        <is>
          <t>キーワード能力</t>
        </is>
      </c>
      <c r="C329" s="8" t="inlineStr">
        <is>
          <t>デッキ構築</t>
        </is>
      </c>
      <c r="D329" s="9" t="inlineStr">
        <is>
          <t>～との共闘</t>
        </is>
      </c>
      <c r="E329" s="10" t="inlineStr">
        <is>
          <t>Partner with</t>
        </is>
      </c>
      <c r="F329" s="7" t="inlineStr">
        <is>
          <t>702.124</t>
        </is>
      </c>
      <c r="G329" s="8" t="inlineStr">
        <is>
          <t>指定された相方とのみ統率者として組め、出た時に相方をライブラリーから手札に加えさせられる。</t>
        </is>
      </c>
      <c r="H329" s="8" t="inlineStr">
        <is>
          <t>バトルボンド (2018)</t>
        </is>
      </c>
      <c r="I329" s="10" t="inlineStr">
        <is>
          <t>2枚1組のペアカードとして設計し、片方を使うともう片方を山札から手札に加える。ペア専用シナジーを作れる。</t>
        </is>
      </c>
      <c r="J329" s="11" t="inlineStr">
        <is>
          <t>高</t>
        </is>
      </c>
      <c r="K329" s="8" t="inlineStr">
        <is>
          <t>山札サーチ</t>
        </is>
      </c>
      <c r="L329" s="12" t="inlineStr">
        <is>
          <t>△</t>
        </is>
      </c>
      <c r="M329" s="13" t="inlineStr">
        <is>
          <t>サーチの対象に「指定したカード名」を足す形ならペアカードを作れる</t>
        </is>
      </c>
    </row>
    <row r="330" ht="33" customHeight="1">
      <c r="A330" s="7" t="n">
        <v>329</v>
      </c>
      <c r="B330" s="8" t="inlineStr">
        <is>
          <t>キーワード能力</t>
        </is>
      </c>
      <c r="C330" s="8" t="inlineStr">
        <is>
          <t>デッキ構築</t>
        </is>
      </c>
      <c r="D330" s="9" t="inlineStr">
        <is>
          <t>共闘─永遠の友</t>
        </is>
      </c>
      <c r="E330" s="10" t="inlineStr">
        <is>
          <t>Partner—Friends forever</t>
        </is>
      </c>
      <c r="F330" s="7" t="inlineStr">
        <is>
          <t>702.124</t>
        </is>
      </c>
      <c r="G330" s="8" t="inlineStr">
        <is>
          <t>同じ永遠の友の共闘を持つ伝説のクリーチャー同士でのみ、2体で統率者として組める。</t>
        </is>
      </c>
      <c r="H330" s="10" t="inlineStr">
        <is>
          <t>Secret Lair x Stranger Things (2021)</t>
        </is>
      </c>
      <c r="I330" s="8" t="inlineStr">
        <is>
          <t>同じグループ名を持つリーダー同士だけが組めるテーマ別ペア制。コラボやイベント限定リーダーに向く。</t>
        </is>
      </c>
      <c r="J330" s="11" t="inlineStr">
        <is>
          <t>中</t>
        </is>
      </c>
      <c r="K330" s="8" t="inlineStr">
        <is>
          <t>リーダー制</t>
        </is>
      </c>
      <c r="L330" s="12" t="inlineStr">
        <is>
          <t>×</t>
        </is>
      </c>
      <c r="M330" s="13" t="inlineStr">
        <is>
          <t>リーダー制前提</t>
        </is>
      </c>
    </row>
    <row r="331" ht="29" customHeight="1">
      <c r="A331" s="7" t="n">
        <v>330</v>
      </c>
      <c r="B331" s="8" t="inlineStr">
        <is>
          <t>キーワード能力</t>
        </is>
      </c>
      <c r="C331" s="8" t="inlineStr">
        <is>
          <t>デッキ構築</t>
        </is>
      </c>
      <c r="D331" s="9" t="inlineStr">
        <is>
          <t>共闘─キャラ選択</t>
        </is>
      </c>
      <c r="E331" s="10" t="inlineStr">
        <is>
          <t>Partner—Character select</t>
        </is>
      </c>
      <c r="F331" s="7" t="inlineStr">
        <is>
          <t>702.124</t>
        </is>
      </c>
      <c r="G331" s="8" t="inlineStr">
        <is>
          <t>同じ共闘─キャラ選択を持つ伝説のクリーチャー同士でのみ、2体で統率者として組める共闘の一種。</t>
        </is>
      </c>
      <c r="H331" s="8" t="inlineStr">
        <is>
          <t>ミュータント タートルズ (2026)</t>
        </is>
      </c>
      <c r="I331" s="8" t="inlineStr">
        <is>
          <t>キャラ選択画面でグループ内から2人を選ぶ方式。チーム物のキャラクター群をまとめて扱える。</t>
        </is>
      </c>
      <c r="J331" s="11" t="inlineStr">
        <is>
          <t>中</t>
        </is>
      </c>
      <c r="K331" s="8" t="inlineStr">
        <is>
          <t>リーダー制</t>
        </is>
      </c>
      <c r="L331" s="12" t="inlineStr">
        <is>
          <t>×</t>
        </is>
      </c>
      <c r="M331" s="13" t="inlineStr">
        <is>
          <t>リーダー制前提</t>
        </is>
      </c>
    </row>
    <row r="332" ht="41.5" customHeight="1">
      <c r="A332" s="7" t="n">
        <v>331</v>
      </c>
      <c r="B332" s="8" t="inlineStr">
        <is>
          <t>キーワード能力</t>
        </is>
      </c>
      <c r="C332" s="8" t="inlineStr">
        <is>
          <t>デッキ構築</t>
        </is>
      </c>
      <c r="D332" s="9" t="inlineStr">
        <is>
          <t>背景選択</t>
        </is>
      </c>
      <c r="E332" s="10" t="inlineStr">
        <is>
          <t>Choose a Background</t>
        </is>
      </c>
      <c r="F332" s="7" t="inlineStr">
        <is>
          <t>702.124</t>
        </is>
      </c>
      <c r="G332" s="8" t="inlineStr">
        <is>
          <t>背景選択を持つ伝説のクリーチャーと、伝説の背景エンチャントを組にして統率者にできる。</t>
        </is>
      </c>
      <c r="H332" s="8" t="inlineStr">
        <is>
          <t>統率者レジェンズ：バルダーズ・ゲートの戦い (2022)</t>
        </is>
      </c>
      <c r="I332" s="8" t="inlineStr">
        <is>
          <t>リーダーに経歴カードを1枚組み合わせる制度。経歴は常時パッシブを与え、その分をデッキのポイント予算から差し引く。</t>
        </is>
      </c>
      <c r="J332" s="11" t="inlineStr">
        <is>
          <t>中</t>
        </is>
      </c>
      <c r="K332" s="8" t="inlineStr">
        <is>
          <t>リーダー制</t>
        </is>
      </c>
      <c r="L332" s="12" t="inlineStr">
        <is>
          <t>×</t>
        </is>
      </c>
      <c r="M332" s="13" t="inlineStr">
        <is>
          <t>リーダー制前提</t>
        </is>
      </c>
    </row>
    <row r="333" ht="29" customHeight="1">
      <c r="A333" s="7" t="n">
        <v>332</v>
      </c>
      <c r="B333" s="8" t="inlineStr">
        <is>
          <t>キーワード能力</t>
        </is>
      </c>
      <c r="C333" s="8" t="inlineStr">
        <is>
          <t>デッキ構築</t>
        </is>
      </c>
      <c r="D333" s="9" t="inlineStr">
        <is>
          <t>ドクターのコンパニオン</t>
        </is>
      </c>
      <c r="E333" s="10" t="inlineStr">
        <is>
          <t>Doctor's companion</t>
        </is>
      </c>
      <c r="F333" s="7" t="inlineStr">
        <is>
          <t>702.124</t>
        </is>
      </c>
      <c r="G333" s="8" t="inlineStr">
        <is>
          <t>ドクターであるタイムロードの伝説のクリーチャーと組み、2体で統率者にできる。</t>
        </is>
      </c>
      <c r="H333" s="8" t="inlineStr">
        <is>
          <t>ドクター・フー統率者デッキ (2023)</t>
        </is>
      </c>
      <c r="I333" s="8" t="inlineStr">
        <is>
          <t>特定タイプのリーダーにだけ付けられる相棒枠。タイプ制約付きのペア判定を構築画面に足す。</t>
        </is>
      </c>
      <c r="J333" s="11" t="inlineStr">
        <is>
          <t>中</t>
        </is>
      </c>
      <c r="K333" s="8" t="inlineStr">
        <is>
          <t>リーダー制</t>
        </is>
      </c>
      <c r="L333" s="12" t="inlineStr">
        <is>
          <t>×</t>
        </is>
      </c>
      <c r="M333" s="13" t="inlineStr">
        <is>
          <t>リーダー制前提</t>
        </is>
      </c>
    </row>
    <row r="334" ht="33" customHeight="1">
      <c r="A334" s="7" t="n">
        <v>333</v>
      </c>
      <c r="B334" s="8" t="inlineStr">
        <is>
          <t>キーワード能力</t>
        </is>
      </c>
      <c r="C334" s="8" t="inlineStr">
        <is>
          <t>多人数・交流</t>
        </is>
      </c>
      <c r="D334" s="9" t="inlineStr">
        <is>
          <t>不抜</t>
        </is>
      </c>
      <c r="E334" s="10" t="inlineStr">
        <is>
          <t>Undaunted</t>
        </is>
      </c>
      <c r="F334" s="7" t="inlineStr">
        <is>
          <t>702.125</t>
        </is>
      </c>
      <c r="G334" s="8" t="inlineStr">
        <is>
          <t>対戦相手1人につき、この呪文を唱えるコストが(1)少なくなる。</t>
        </is>
      </c>
      <c r="H334" s="8" t="inlineStr">
        <is>
          <t>統率者2016 (2016)</t>
        </is>
      </c>
      <c r="I334" s="8" t="inlineStr">
        <is>
          <t>敵の数だけコストが下がる。CPU戦で複数の敵が出る場面や多人数戦向けで、1対1では効果が小さいので低ポイント。</t>
        </is>
      </c>
      <c r="J334" s="11" t="inlineStr">
        <is>
          <t>高</t>
        </is>
      </c>
      <c r="K334" s="8" t="inlineStr">
        <is>
          <t>複数の敵</t>
        </is>
      </c>
      <c r="L334" s="12" t="inlineStr">
        <is>
          <t>×</t>
        </is>
      </c>
      <c r="M334" s="13" t="inlineStr">
        <is>
          <t>多人数前提</t>
        </is>
      </c>
    </row>
    <row r="335" ht="29" customHeight="1">
      <c r="A335" s="7" t="n">
        <v>334</v>
      </c>
      <c r="B335" s="8" t="inlineStr">
        <is>
          <t>キーワード能力</t>
        </is>
      </c>
      <c r="C335" s="8" t="inlineStr">
        <is>
          <t>コスト・リソース</t>
        </is>
      </c>
      <c r="D335" s="9" t="inlineStr">
        <is>
          <t>即席</t>
        </is>
      </c>
      <c r="E335" s="10" t="inlineStr">
        <is>
          <t>Improvise</t>
        </is>
      </c>
      <c r="F335" s="7" t="inlineStr">
        <is>
          <t>702.126</t>
        </is>
      </c>
      <c r="G335" s="8" t="inlineStr">
        <is>
          <t>自軍のアンタップ状態のアーティファクトをタップするごとに、不特定マナ1つ分を支払える。</t>
        </is>
      </c>
      <c r="H335" s="8" t="inlineStr">
        <is>
          <t>霊気紛争 (2017)</t>
        </is>
      </c>
      <c r="I335" s="8" t="inlineStr">
        <is>
          <t>場の装備やアイテムを行動済みにするごとにエネルギー1の代わりにできる。アイテムデッキの加速手段。</t>
        </is>
      </c>
      <c r="J335" s="11" t="inlineStr">
        <is>
          <t>中</t>
        </is>
      </c>
      <c r="K335" s="8" t="inlineStr">
        <is>
          <t>常駐カード枠</t>
        </is>
      </c>
      <c r="L335" s="12" t="inlineStr">
        <is>
          <t>×</t>
        </is>
      </c>
      <c r="M335" s="13" t="inlineStr">
        <is>
          <t>アーティファクト・タップ前提</t>
        </is>
      </c>
    </row>
    <row r="336" ht="33" customHeight="1">
      <c r="A336" s="7" t="n">
        <v>335</v>
      </c>
      <c r="B336" s="8" t="inlineStr">
        <is>
          <t>キーワード能力</t>
        </is>
      </c>
      <c r="C336" s="8" t="inlineStr">
        <is>
          <t>墓地利用</t>
        </is>
      </c>
      <c r="D336" s="9" t="inlineStr">
        <is>
          <t>余波</t>
        </is>
      </c>
      <c r="E336" s="10" t="inlineStr">
        <is>
          <t>Aftermath</t>
        </is>
      </c>
      <c r="F336" s="7" t="inlineStr">
        <is>
          <t>702.127</t>
        </is>
      </c>
      <c r="G336" s="8" t="inlineStr">
        <is>
          <t>分割カードの後半は墓地からのみ唱えられ、唱えた後は追放される。</t>
        </is>
      </c>
      <c r="H336" s="8" t="inlineStr">
        <is>
          <t>アモンケット (2017)</t>
        </is>
      </c>
      <c r="I336" s="8" t="inlineStr">
        <is>
          <t>手札からは前半効果、捨て札に置かれた後に後半効果を1回だけ使える2段階カード。捨て札の山に価値を持たせる。</t>
        </is>
      </c>
      <c r="J336" s="11" t="inlineStr">
        <is>
          <t>中</t>
        </is>
      </c>
      <c r="K336" s="8" t="inlineStr">
        <is>
          <t>捨て札・廃棄</t>
        </is>
      </c>
      <c r="L336" s="12" t="inlineStr">
        <is>
          <t>◎</t>
        </is>
      </c>
      <c r="M336" s="13" t="inlineStr">
        <is>
          <t>【今回実装：タイミング『捨て札から使ったとき』＋捨て札から使う能力（余波）（`fromDiscard`・バッチC1）】（審査時は○）捨て札から使える後半効果（『余韻』）：捨て札にある間に1回だけ使え、使ったら除外。捨て札使用の仕組み要</t>
        </is>
      </c>
    </row>
    <row r="337" ht="37.5" customHeight="1">
      <c r="A337" s="7" t="n">
        <v>336</v>
      </c>
      <c r="B337" s="8" t="inlineStr">
        <is>
          <t>キーワード能力</t>
        </is>
      </c>
      <c r="C337" s="8" t="inlineStr">
        <is>
          <t>墓地利用</t>
        </is>
      </c>
      <c r="D337" s="9" t="inlineStr">
        <is>
          <t>不朽</t>
        </is>
      </c>
      <c r="E337" s="10" t="inlineStr">
        <is>
          <t>Embalm</t>
        </is>
      </c>
      <c r="F337" s="7" t="inlineStr">
        <is>
          <t>702.128</t>
        </is>
      </c>
      <c r="G337" s="8" t="inlineStr">
        <is>
          <t>墓地のこれを追放しコストを払うと、白いゾンビになったトークン・コピーを生成する（ソーサリー時）。</t>
        </is>
      </c>
      <c r="H337" s="8" t="inlineStr">
        <is>
          <t>アモンケット (2017)</t>
        </is>
      </c>
      <c r="I337" s="8" t="inlineStr">
        <is>
          <t>捨て札から廃棄してエネルギーを払うと、そのカードのコピーを1回だけ出せる。カード2回分の価値としてポイント設定。</t>
        </is>
      </c>
      <c r="J337" s="11" t="inlineStr">
        <is>
          <t>中</t>
        </is>
      </c>
      <c r="K337" s="8" t="inlineStr">
        <is>
          <t>捨て札・廃棄</t>
        </is>
      </c>
      <c r="L337" s="12" t="inlineStr">
        <is>
          <t>△</t>
        </is>
      </c>
      <c r="M337" s="13" t="inlineStr">
        <is>
          <t>破壊時に体力1のコピーを場に戻す、など『不屈』寄りのキーワードに。トークン実装後</t>
        </is>
      </c>
    </row>
    <row r="338" ht="29" customHeight="1">
      <c r="A338" s="7" t="n">
        <v>337</v>
      </c>
      <c r="B338" s="8" t="inlineStr">
        <is>
          <t>キーワード能力</t>
        </is>
      </c>
      <c r="C338" s="8" t="inlineStr">
        <is>
          <t>墓地利用</t>
        </is>
      </c>
      <c r="D338" s="9" t="inlineStr">
        <is>
          <t>永遠</t>
        </is>
      </c>
      <c r="E338" s="10" t="inlineStr">
        <is>
          <t>Eternalize</t>
        </is>
      </c>
      <c r="F338" s="7" t="inlineStr">
        <is>
          <t>702.129</t>
        </is>
      </c>
      <c r="G338" s="8" t="inlineStr">
        <is>
          <t>墓地のこれを追放しコストを払うと、4/4の黒いゾンビになったトークン・コピーを生成する。</t>
        </is>
      </c>
      <c r="H338" s="8" t="inlineStr">
        <is>
          <t>破滅の刻 (2017)</t>
        </is>
      </c>
      <c r="I338" s="8" t="inlineStr">
        <is>
          <t>捨て札から廃棄して、数値を固定値に上書きしたコピーを出す。元の数値が低いカードほど得をする設計にできる。</t>
        </is>
      </c>
      <c r="J338" s="11" t="inlineStr">
        <is>
          <t>中</t>
        </is>
      </c>
      <c r="K338" s="8" t="inlineStr">
        <is>
          <t>捨て札・廃棄</t>
        </is>
      </c>
      <c r="L338" s="12" t="inlineStr">
        <is>
          <t>△</t>
        </is>
      </c>
      <c r="M338" s="13" t="inlineStr">
        <is>
          <t>不朽と同じ。数値固定のコピー（20/20相当）を出す。トークン実装後</t>
        </is>
      </c>
    </row>
    <row r="339" ht="29" customHeight="1">
      <c r="A339" s="7" t="n">
        <v>338</v>
      </c>
      <c r="B339" s="8" t="inlineStr">
        <is>
          <t>キーワード能力</t>
        </is>
      </c>
      <c r="C339" s="8" t="inlineStr">
        <is>
          <t>攻撃</t>
        </is>
      </c>
      <c r="D339" s="9" t="inlineStr">
        <is>
          <t>加虐</t>
        </is>
      </c>
      <c r="E339" s="10" t="inlineStr">
        <is>
          <t>Afflict</t>
        </is>
      </c>
      <c r="F339" s="7" t="inlineStr">
        <is>
          <t>702.130</t>
        </is>
      </c>
      <c r="G339" s="8" t="inlineStr">
        <is>
          <t>ブロックされるたび、防御プレイヤーはN点のライフを失う。</t>
        </is>
      </c>
      <c r="H339" s="8" t="inlineStr">
        <is>
          <t>破滅の刻 (2017)</t>
        </is>
      </c>
      <c r="I339" s="8" t="inlineStr">
        <is>
          <t>ブロックされても本体にN点の固定ダメージが入る攻撃。ブロック値で止められる攻撃に最低保証を付ける。</t>
        </is>
      </c>
      <c r="J339" s="11" t="inlineStr">
        <is>
          <t>高</t>
        </is>
      </c>
      <c r="K339" s="8" t="inlineStr">
        <is>
          <t>ブロック値</t>
        </is>
      </c>
      <c r="L339" s="12" t="inlineStr">
        <is>
          <t>×</t>
        </is>
      </c>
      <c r="M339" s="13" t="inlineStr">
        <is>
          <t>既存：タイミング「攻撃するたび」＋相手プレイヤーにダメージで作れる（ブロック前提部分は不要）</t>
        </is>
      </c>
    </row>
    <row r="340" ht="41.5" customHeight="1">
      <c r="A340" s="7" t="n">
        <v>339</v>
      </c>
      <c r="B340" s="8" t="inlineStr">
        <is>
          <t>キーワード能力</t>
        </is>
      </c>
      <c r="C340" s="8" t="inlineStr">
        <is>
          <t>条件ボーナス</t>
        </is>
      </c>
      <c r="D340" s="9" t="inlineStr">
        <is>
          <t>昇殿</t>
        </is>
      </c>
      <c r="E340" s="10" t="inlineStr">
        <is>
          <t>Ascend</t>
        </is>
      </c>
      <c r="F340" s="7" t="inlineStr">
        <is>
          <t>702.131</t>
        </is>
      </c>
      <c r="G340" s="8" t="inlineStr">
        <is>
          <t>パーマネントを10個以上コントロールすると、ゲーム中続く都市の承認を得て、それを参照する効果が強まる。</t>
        </is>
      </c>
      <c r="H340" s="8" t="inlineStr">
        <is>
          <t>イクサランの相克 (2018)</t>
        </is>
      </c>
      <c r="I340" s="8" t="inlineStr">
        <is>
          <t>場の常駐物が一定数を超えると試合中永続の称号フラグを得て、関連カードが強化される。称号はプレイヤー側に保存。</t>
        </is>
      </c>
      <c r="J340" s="11" t="inlineStr">
        <is>
          <t>高</t>
        </is>
      </c>
      <c r="K340" s="8" t="inlineStr">
        <is>
          <t>常駐カード枠</t>
        </is>
      </c>
      <c r="L340" s="12" t="inlineStr">
        <is>
          <t>×</t>
        </is>
      </c>
      <c r="M340" s="13" t="inlineStr">
        <is>
          <t>既存に近い：条件「自分の場にモンスターが3体以上」。称号フラグは過剰</t>
        </is>
      </c>
    </row>
    <row r="341" ht="29" customHeight="1">
      <c r="A341" s="7" t="n">
        <v>340</v>
      </c>
      <c r="B341" s="8" t="inlineStr">
        <is>
          <t>キーワード能力</t>
        </is>
      </c>
      <c r="C341" s="8" t="inlineStr">
        <is>
          <t>多人数・交流</t>
        </is>
      </c>
      <c r="D341" s="9" t="inlineStr">
        <is>
          <t>助力</t>
        </is>
      </c>
      <c r="E341" s="10" t="inlineStr">
        <is>
          <t>Assist</t>
        </is>
      </c>
      <c r="F341" s="7" t="inlineStr">
        <is>
          <t>702.132</t>
        </is>
      </c>
      <c r="G341" s="8" t="inlineStr">
        <is>
          <t>この呪文のコストの不特定マナ部分を、他のプレイヤーが代わりに払ってもよい。</t>
        </is>
      </c>
      <c r="H341" s="8" t="inlineStr">
        <is>
          <t>バトルボンド (2018)</t>
        </is>
      </c>
      <c r="I341" s="10" t="inlineStr">
        <is>
          <t>2対2の協力戦で、味方が自分のエネルギーを分けて支払いを肩代わりできる。チーム戦モードがある場合に実装。</t>
        </is>
      </c>
      <c r="J341" s="11" t="inlineStr">
        <is>
          <t>中</t>
        </is>
      </c>
      <c r="K341" s="8" t="inlineStr">
        <is>
          <t>チーム戦</t>
        </is>
      </c>
      <c r="L341" s="12" t="inlineStr">
        <is>
          <t>×</t>
        </is>
      </c>
      <c r="M341" s="13" t="inlineStr">
        <is>
          <t>チーム戦前提</t>
        </is>
      </c>
    </row>
    <row r="342" ht="29" customHeight="1">
      <c r="A342" s="7" t="n">
        <v>341</v>
      </c>
      <c r="B342" s="8" t="inlineStr">
        <is>
          <t>キーワード能力</t>
        </is>
      </c>
      <c r="C342" s="8" t="inlineStr">
        <is>
          <t>墓地利用</t>
        </is>
      </c>
      <c r="D342" s="9" t="inlineStr">
        <is>
          <t>再活</t>
        </is>
      </c>
      <c r="E342" s="10" t="inlineStr">
        <is>
          <t>Jump-start</t>
        </is>
      </c>
      <c r="F342" s="7" t="inlineStr">
        <is>
          <t>702.133</t>
        </is>
      </c>
      <c r="G342" s="8" t="inlineStr">
        <is>
          <t>カードを1枚捨てる追加コストを払えば墓地から唱えられ、その後は追放される。</t>
        </is>
      </c>
      <c r="H342" s="8" t="inlineStr">
        <is>
          <t>ラヴニカのギルド (2018)</t>
        </is>
      </c>
      <c r="I342" s="8" t="inlineStr">
        <is>
          <t>捨て札から、手札1枚を捨てることで再使用でき、使った後は廃棄。山札・手札・捨て札の循環にそのまま組み込める。</t>
        </is>
      </c>
      <c r="J342" s="11" t="inlineStr">
        <is>
          <t>中</t>
        </is>
      </c>
      <c r="K342" s="8" t="inlineStr">
        <is>
          <t>捨て札・廃棄</t>
        </is>
      </c>
      <c r="L342" s="12" t="inlineStr">
        <is>
          <t>◎</t>
        </is>
      </c>
      <c r="M342" s="13" t="inlineStr">
        <is>
          <t>【今回実装：カードの能力『再活』（捨て札から使う）（`jumpStart`・バッチC1）】（審査時は○）キーワード（カード）『再活』：捨て札から、手札1枚を捨てて使える。使ったら除外。捨て札から使う仕組み要。+15pt</t>
        </is>
      </c>
    </row>
    <row r="343" ht="29" customHeight="1">
      <c r="A343" s="7" t="n">
        <v>342</v>
      </c>
      <c r="B343" s="8" t="inlineStr">
        <is>
          <t>キーワード能力</t>
        </is>
      </c>
      <c r="C343" s="8" t="inlineStr">
        <is>
          <t>強化</t>
        </is>
      </c>
      <c r="D343" s="9" t="inlineStr">
        <is>
          <t>教導</t>
        </is>
      </c>
      <c r="E343" s="10" t="inlineStr">
        <is>
          <t>Mentor</t>
        </is>
      </c>
      <c r="F343" s="7" t="inlineStr">
        <is>
          <t>702.134</t>
        </is>
      </c>
      <c r="G343" s="8" t="inlineStr">
        <is>
          <t>攻撃するたび、これより小さいパワーを持つ攻撃クリーチャー1体に+1/+1カウンターを置く。</t>
        </is>
      </c>
      <c r="H343" s="8" t="inlineStr">
        <is>
          <t>ラヴニカのギルド (2018)</t>
        </is>
      </c>
      <c r="I343" s="8" t="inlineStr">
        <is>
          <t>このカードより弱い味方ユニットを、攻撃のたびに永続+1する。小型ユニットを育てるデッキの核になる。</t>
        </is>
      </c>
      <c r="J343" s="11" t="inlineStr">
        <is>
          <t>高</t>
        </is>
      </c>
      <c r="K343" s="8" t="inlineStr">
        <is>
          <t>ユニット</t>
        </is>
      </c>
      <c r="L343" s="12" t="inlineStr">
        <is>
          <t>×</t>
        </is>
      </c>
      <c r="M343" s="13" t="inlineStr">
        <is>
          <t>既存：攻撃するたび＋攻撃力アップ（ランダムな自分のモンスター）。鍛錬でも可</t>
        </is>
      </c>
    </row>
    <row r="344" ht="33" customHeight="1">
      <c r="A344" s="7" t="n">
        <v>343</v>
      </c>
      <c r="B344" s="8" t="inlineStr">
        <is>
          <t>キーワード能力</t>
        </is>
      </c>
      <c r="C344" s="8" t="inlineStr">
        <is>
          <t>展開・トークン</t>
        </is>
      </c>
      <c r="D344" s="9" t="inlineStr">
        <is>
          <t>死後</t>
        </is>
      </c>
      <c r="E344" s="10" t="inlineStr">
        <is>
          <t>Afterlife</t>
        </is>
      </c>
      <c r="F344" s="7" t="inlineStr">
        <is>
          <t>702.135</t>
        </is>
      </c>
      <c r="G344" s="8" t="inlineStr">
        <is>
          <t>死亡した時、飛行を持つ1/1の白黒のスピリット・トークンをN体生成する。</t>
        </is>
      </c>
      <c r="H344" s="8" t="inlineStr">
        <is>
          <t>ラヴニカの献身 (2019)</t>
        </is>
      </c>
      <c r="I344" s="8" t="inlineStr">
        <is>
          <t>倒されるとN体の小型トークンを残す。除去耐性の一種として扱い、Nに応じてポイントを加算する。</t>
        </is>
      </c>
      <c r="J344" s="11" t="inlineStr">
        <is>
          <t>高</t>
        </is>
      </c>
      <c r="K344" s="8" t="inlineStr">
        <is>
          <t>トークン</t>
        </is>
      </c>
      <c r="L344" s="12" t="inlineStr">
        <is>
          <t>◎</t>
        </is>
      </c>
      <c r="M344" s="13" t="inlineStr">
        <is>
          <t>【今回実装：トークン生成】今回の要素で作れる：破壊されたとき＋トークン生成</t>
        </is>
      </c>
    </row>
    <row r="345" ht="29" customHeight="1">
      <c r="A345" s="7" t="n">
        <v>344</v>
      </c>
      <c r="B345" s="8" t="inlineStr">
        <is>
          <t>キーワード能力</t>
        </is>
      </c>
      <c r="C345" s="8" t="inlineStr">
        <is>
          <t>強化</t>
        </is>
      </c>
      <c r="D345" s="9" t="inlineStr">
        <is>
          <t>暴動</t>
        </is>
      </c>
      <c r="E345" s="10" t="inlineStr">
        <is>
          <t>Riot</t>
        </is>
      </c>
      <c r="F345" s="7" t="inlineStr">
        <is>
          <t>702.136</t>
        </is>
      </c>
      <c r="G345" s="8" t="inlineStr">
        <is>
          <t>出る際、+1/+1カウンター1個を置くか速攻を得るかを選ぶ。</t>
        </is>
      </c>
      <c r="H345" s="8" t="inlineStr">
        <is>
          <t>ラヴニカの献身 (2019)</t>
        </is>
      </c>
      <c r="I345" s="8" t="inlineStr">
        <is>
          <t>使用時に即行動か永続+1かを選べるユニット。選択ダイアログ1つで実装できる。</t>
        </is>
      </c>
      <c r="J345" s="11" t="inlineStr">
        <is>
          <t>高</t>
        </is>
      </c>
      <c r="K345" s="8" t="inlineStr">
        <is>
          <t>なし</t>
        </is>
      </c>
      <c r="L345" s="12" t="inlineStr">
        <is>
          <t>◎</t>
        </is>
      </c>
      <c r="M345" s="13" t="inlineStr">
        <is>
          <t>【今回実装：モード選択（速攻の付与／鍛錬を選ぶ＝暴動）（`modes`・バッチC2）】（審査時は○）キーワード『暴動』：召喚時に速攻か攻撃力+N/体力+Nを選ぶ。選択UI＋CPU選び。速攻ptの7割</t>
        </is>
      </c>
    </row>
    <row r="346" ht="25" customHeight="1">
      <c r="A346" s="7" t="n">
        <v>345</v>
      </c>
      <c r="B346" s="8" t="inlineStr">
        <is>
          <t>キーワード能力</t>
        </is>
      </c>
      <c r="C346" s="8" t="inlineStr">
        <is>
          <t>条件ボーナス</t>
        </is>
      </c>
      <c r="D346" s="9" t="inlineStr">
        <is>
          <t>絢爛</t>
        </is>
      </c>
      <c r="E346" s="10" t="inlineStr">
        <is>
          <t>Spectacle</t>
        </is>
      </c>
      <c r="F346" s="7" t="inlineStr">
        <is>
          <t>702.137</t>
        </is>
      </c>
      <c r="G346" s="8" t="inlineStr">
        <is>
          <t>このターンに対戦相手がライフを失っていれば、代替コストで唱えられる。</t>
        </is>
      </c>
      <c r="H346" s="8" t="inlineStr">
        <is>
          <t>ラヴニカの献身 (2019)</t>
        </is>
      </c>
      <c r="I346" s="8" t="inlineStr">
        <is>
          <t>このターンに相手本体へダメージを与えていればコスト割引。攻撃カードを先に切る順番の工夫を促す。</t>
        </is>
      </c>
      <c r="J346" s="11" t="inlineStr">
        <is>
          <t>高</t>
        </is>
      </c>
      <c r="K346" s="8" t="inlineStr">
        <is>
          <t>本体ダメージ</t>
        </is>
      </c>
      <c r="L346" s="12" t="inlineStr">
        <is>
          <t>◎</t>
        </is>
      </c>
      <c r="M346" s="13" t="inlineStr">
        <is>
          <t>【今回実装：このターン相手にダメージを与えた】今回実装 条件 enemyDamagedThisTurn に統合（#256）</t>
        </is>
      </c>
    </row>
    <row r="347" ht="29" customHeight="1">
      <c r="A347" s="7" t="n">
        <v>346</v>
      </c>
      <c r="B347" s="8" t="inlineStr">
        <is>
          <t>キーワード能力</t>
        </is>
      </c>
      <c r="C347" s="8" t="inlineStr">
        <is>
          <t>墓地利用</t>
        </is>
      </c>
      <c r="D347" s="9" t="inlineStr">
        <is>
          <t>脱出</t>
        </is>
      </c>
      <c r="E347" s="10" t="inlineStr">
        <is>
          <t>Escape</t>
        </is>
      </c>
      <c r="F347" s="7" t="inlineStr">
        <is>
          <t>702.138</t>
        </is>
      </c>
      <c r="G347" s="8" t="inlineStr">
        <is>
          <t>コストに加えて自分の墓地の他のカードを指定枚数追放すれば、墓地から唱えられる。</t>
        </is>
      </c>
      <c r="H347" s="8" t="inlineStr">
        <is>
          <t>テーロス還魂記 (2020)</t>
        </is>
      </c>
      <c r="I347" s="8" t="inlineStr">
        <is>
          <t>捨て札から、他の捨て札N枚を廃棄して再使用できる。捨て札の枚数そのものをリソースにできる。</t>
        </is>
      </c>
      <c r="J347" s="11" t="inlineStr">
        <is>
          <t>中</t>
        </is>
      </c>
      <c r="K347" s="8" t="inlineStr">
        <is>
          <t>捨て札・廃棄</t>
        </is>
      </c>
      <c r="L347" s="12" t="inlineStr">
        <is>
          <t>◎</t>
        </is>
      </c>
      <c r="M347" s="13" t="inlineStr">
        <is>
          <t>【今回実装：カードの能力『脱出』（捨て札から使う）（`escape`・バッチC1）】（審査時は○）『脱出』：捨て札からも使え、他の捨て札N枚を除外する。捨て札使用の仕組み要。再活とまとめる</t>
        </is>
      </c>
    </row>
    <row r="348" ht="33" customHeight="1">
      <c r="A348" s="7" t="n">
        <v>347</v>
      </c>
      <c r="B348" s="8" t="inlineStr">
        <is>
          <t>キーワード能力</t>
        </is>
      </c>
      <c r="C348" s="8" t="inlineStr">
        <is>
          <t>デッキ構築</t>
        </is>
      </c>
      <c r="D348" s="9" t="inlineStr">
        <is>
          <t>相棒</t>
        </is>
      </c>
      <c r="E348" s="10" t="inlineStr">
        <is>
          <t>Companion</t>
        </is>
      </c>
      <c r="F348" s="7" t="inlineStr">
        <is>
          <t>702.139</t>
        </is>
      </c>
      <c r="G348" s="8" t="inlineStr">
        <is>
          <t>デッキが条件を満たせばゲーム外に置いて開始でき、一度だけ(3)を払って手札に加えられる。</t>
        </is>
      </c>
      <c r="H348" s="8" t="inlineStr">
        <is>
          <t>イコリア：巨獣の棲処 (2020)</t>
        </is>
      </c>
      <c r="I348" s="8" t="inlineStr">
        <is>
          <t>デッキが構築条件（全カードのコストが1以下など）を満たすと、デッキ外の特別カードを1回呼び出せる。構築縛りの報酬。</t>
        </is>
      </c>
      <c r="J348" s="11" t="inlineStr">
        <is>
          <t>中</t>
        </is>
      </c>
      <c r="K348" s="8" t="inlineStr">
        <is>
          <t>デッキ構築判定</t>
        </is>
      </c>
      <c r="L348" s="12" t="inlineStr">
        <is>
          <t>×</t>
        </is>
      </c>
      <c r="M348" s="13" t="inlineStr">
        <is>
          <t>デッキ外の特別枠・構築縛りが重い</t>
        </is>
      </c>
    </row>
    <row r="349" ht="29" customHeight="1">
      <c r="A349" s="7" t="n">
        <v>348</v>
      </c>
      <c r="B349" s="8" t="inlineStr">
        <is>
          <t>キーワード能力</t>
        </is>
      </c>
      <c r="C349" s="8" t="inlineStr">
        <is>
          <t>強化</t>
        </is>
      </c>
      <c r="D349" s="9" t="inlineStr">
        <is>
          <t>変容</t>
        </is>
      </c>
      <c r="E349" s="10" t="inlineStr">
        <is>
          <t>Mutate</t>
        </is>
      </c>
      <c r="F349" s="7" t="inlineStr">
        <is>
          <t>702.140</t>
        </is>
      </c>
      <c r="G349" s="8" t="inlineStr">
        <is>
          <t>人間でない自軍クリーチャーの上か下に重ねて合体し、全カードの能力を併せ持つ1体になる。</t>
        </is>
      </c>
      <c r="H349" s="8" t="inlineStr">
        <is>
          <t>イコリア：巨獣の棲処 (2020)</t>
        </is>
      </c>
      <c r="I349" s="8" t="inlineStr">
        <is>
          <t>既存ユニットにカードを重ねて合体し、能力と数値を統合する。重ねた順番と構成カードを保持するデータ構造が必要。</t>
        </is>
      </c>
      <c r="J349" s="11" t="inlineStr">
        <is>
          <t>低</t>
        </is>
      </c>
      <c r="K349" s="8" t="inlineStr">
        <is>
          <t>ユニット</t>
        </is>
      </c>
      <c r="L349" s="12" t="inlineStr">
        <is>
          <t>×</t>
        </is>
      </c>
      <c r="M349" s="13" t="inlineStr">
        <is>
          <t>合体のデータ構造が重い</t>
        </is>
      </c>
    </row>
    <row r="350" ht="41.5" customHeight="1">
      <c r="A350" s="7" t="n">
        <v>349</v>
      </c>
      <c r="B350" s="8" t="inlineStr">
        <is>
          <t>キーワード能力</t>
        </is>
      </c>
      <c r="C350" s="8" t="inlineStr">
        <is>
          <t>墓地利用</t>
        </is>
      </c>
      <c r="D350" s="9" t="inlineStr">
        <is>
          <t>再演</t>
        </is>
      </c>
      <c r="E350" s="10" t="inlineStr">
        <is>
          <t>Encore</t>
        </is>
      </c>
      <c r="F350" s="7" t="inlineStr">
        <is>
          <t>702.141</t>
        </is>
      </c>
      <c r="G350" s="8" t="inlineStr">
        <is>
          <t>墓地から追放しコストを払うと、各対戦相手を攻撃するトークン・コピーを1体ずつ出し、終了時に生け贄にする。</t>
        </is>
      </c>
      <c r="H350" s="8" t="inlineStr">
        <is>
          <t>統率者レジェンズ (2020)</t>
        </is>
      </c>
      <c r="I350" s="8" t="inlineStr">
        <is>
          <t>捨て札から廃棄して、敵の数だけ一時的な分身を出して攻撃させる。CPU戦で敵が複数いる場面ほど強い。</t>
        </is>
      </c>
      <c r="J350" s="11" t="inlineStr">
        <is>
          <t>中</t>
        </is>
      </c>
      <c r="K350" s="8" t="inlineStr">
        <is>
          <t>捨て札・廃棄</t>
        </is>
      </c>
      <c r="L350" s="12" t="inlineStr">
        <is>
          <t>×</t>
        </is>
      </c>
      <c r="M350" s="13" t="inlineStr">
        <is>
          <t>多人数前提</t>
        </is>
      </c>
    </row>
    <row r="351" ht="33" customHeight="1">
      <c r="A351" s="7" t="n">
        <v>350</v>
      </c>
      <c r="B351" s="8" t="inlineStr">
        <is>
          <t>キーワード能力</t>
        </is>
      </c>
      <c r="C351" s="8" t="inlineStr">
        <is>
          <t>条件ボーナス</t>
        </is>
      </c>
      <c r="D351" s="9" t="inlineStr">
        <is>
          <t>誇示</t>
        </is>
      </c>
      <c r="E351" s="10" t="inlineStr">
        <is>
          <t>Boast</t>
        </is>
      </c>
      <c r="F351" s="7" t="inlineStr">
        <is>
          <t>702.142</t>
        </is>
      </c>
      <c r="G351" s="8" t="inlineStr">
        <is>
          <t>このクリーチャーが攻撃したターンにのみ、1ターンに1回だけ起動できる能力。</t>
        </is>
      </c>
      <c r="H351" s="8" t="inlineStr">
        <is>
          <t>カルドハイム (2021)</t>
        </is>
      </c>
      <c r="I351" s="8" t="inlineStr">
        <is>
          <t>攻撃したターンだけ使える追加アクション付きのカード。ターン内の攻撃済みフラグで判定できる。</t>
        </is>
      </c>
      <c r="J351" s="11" t="inlineStr">
        <is>
          <t>高</t>
        </is>
      </c>
      <c r="K351" s="8" t="inlineStr">
        <is>
          <t>攻撃</t>
        </is>
      </c>
      <c r="L351" s="12" t="inlineStr">
        <is>
          <t>◎</t>
        </is>
      </c>
      <c r="M351" s="13" t="inlineStr">
        <is>
          <t>【今回実装：このターン自分のモンスターが攻撃した】今回実装 条件『このターン自分のモンスターが攻撃した』allyAttackedThisTurn</t>
        </is>
      </c>
    </row>
    <row r="352" ht="29" customHeight="1">
      <c r="A352" s="7" t="n">
        <v>351</v>
      </c>
      <c r="B352" s="8" t="inlineStr">
        <is>
          <t>キーワード能力</t>
        </is>
      </c>
      <c r="C352" s="8" t="inlineStr">
        <is>
          <t>コスト・リソース</t>
        </is>
      </c>
      <c r="D352" s="9" t="inlineStr">
        <is>
          <t>予顕</t>
        </is>
      </c>
      <c r="E352" s="10" t="inlineStr">
        <is>
          <t>Foretell</t>
        </is>
      </c>
      <c r="F352" s="7" t="inlineStr">
        <is>
          <t>702.143</t>
        </is>
      </c>
      <c r="G352" s="8" t="inlineStr">
        <is>
          <t>自分のターンに(2)を払って裏向きで追放でき、後のターンに軽い予顕コストで唱えられる。</t>
        </is>
      </c>
      <c r="H352" s="8" t="inlineStr">
        <is>
          <t>カルドハイム (2021)</t>
        </is>
      </c>
      <c r="I352" s="8" t="inlineStr">
        <is>
          <t>今のターンにエネルギー2で予約して伏せ、次ターン以降に割引コストで使う。エネルギーの先払いで山を作れる。</t>
        </is>
      </c>
      <c r="J352" s="11" t="inlineStr">
        <is>
          <t>中</t>
        </is>
      </c>
      <c r="K352" s="8" t="inlineStr">
        <is>
          <t>保留ゾーン</t>
        </is>
      </c>
      <c r="L352" s="12" t="inlineStr">
        <is>
          <t>△</t>
        </is>
      </c>
      <c r="M352" s="13" t="inlineStr">
        <is>
          <t>保留ゾーンが要る。保持（retain）で近い動きはできる</t>
        </is>
      </c>
    </row>
    <row r="353" ht="29" customHeight="1">
      <c r="A353" s="7" t="n">
        <v>352</v>
      </c>
      <c r="B353" s="8" t="inlineStr">
        <is>
          <t>キーワード能力</t>
        </is>
      </c>
      <c r="C353" s="8" t="inlineStr">
        <is>
          <t>多人数・交流</t>
        </is>
      </c>
      <c r="D353" s="9" t="inlineStr">
        <is>
          <t>実演</t>
        </is>
      </c>
      <c r="E353" s="10" t="inlineStr">
        <is>
          <t>Demonstrate</t>
        </is>
      </c>
      <c r="F353" s="7" t="inlineStr">
        <is>
          <t>702.144</t>
        </is>
      </c>
      <c r="G353" s="8" t="inlineStr">
        <is>
          <t>唱えた時に呪文をコピーしてよく、そうしたら対戦相手1人もその呪文のコピーを得る。</t>
        </is>
      </c>
      <c r="H353" s="8" t="inlineStr">
        <is>
          <t>統率者2021 (2021)</t>
        </is>
      </c>
      <c r="I353" s="8" t="inlineStr">
        <is>
          <t>効果を2倍にできるが、相手にも同じ効果を与える取引型カード。対戦での駆け引きを生み、ポイントは割安にできる。</t>
        </is>
      </c>
      <c r="J353" s="11" t="inlineStr">
        <is>
          <t>中</t>
        </is>
      </c>
      <c r="K353" s="8" t="inlineStr">
        <is>
          <t>コピー処理</t>
        </is>
      </c>
      <c r="L353" s="12" t="inlineStr">
        <is>
          <t>×</t>
        </is>
      </c>
      <c r="M353" s="13" t="inlineStr">
        <is>
          <t>相手にもコピーを与える取引は1対1で荒れやすく、コピー処理が重い</t>
        </is>
      </c>
    </row>
    <row r="354" ht="29" customHeight="1">
      <c r="A354" s="7" t="n">
        <v>353</v>
      </c>
      <c r="B354" s="8" t="inlineStr">
        <is>
          <t>キーワード能力</t>
        </is>
      </c>
      <c r="C354" s="8" t="inlineStr">
        <is>
          <t>ルール基盤</t>
        </is>
      </c>
      <c r="D354" s="9" t="inlineStr">
        <is>
          <t>日暮／夜明</t>
        </is>
      </c>
      <c r="E354" s="10" t="inlineStr">
        <is>
          <t>Daybound and Nightbound</t>
        </is>
      </c>
      <c r="F354" s="7" t="inlineStr">
        <is>
          <t>702.145</t>
        </is>
      </c>
      <c r="G354" s="8" t="inlineStr">
        <is>
          <t>ゲームに昼と夜を導入し、ターン中に唱えた呪文数で切り替わり、両面カードが昼夜に合わせて変身する。</t>
        </is>
      </c>
      <c r="H354" s="8" t="inlineStr">
        <is>
          <t>イニストラード：真夜中の狩り (2021)</t>
        </is>
      </c>
      <c r="I354" s="8" t="inlineStr">
        <is>
          <t>ターン中のカード使用数で昼と夜が切り替わる全体状態を導入し、対応カードの表裏が自動で変わる。演出もデジタル向き。</t>
        </is>
      </c>
      <c r="J354" s="11" t="inlineStr">
        <is>
          <t>中</t>
        </is>
      </c>
      <c r="K354" s="8" t="inlineStr">
        <is>
          <t>全体状態</t>
        </is>
      </c>
      <c r="L354" s="12" t="inlineStr">
        <is>
          <t>△</t>
        </is>
      </c>
      <c r="M354" s="13" t="inlineStr">
        <is>
          <t>全体状態（昼夜）は面白いが重い。条件『このターン2枚以上使った』程度に縮めれば既存nthCard</t>
        </is>
      </c>
    </row>
    <row r="355" ht="29" customHeight="1">
      <c r="A355" s="7" t="n">
        <v>354</v>
      </c>
      <c r="B355" s="8" t="inlineStr">
        <is>
          <t>キーワード能力</t>
        </is>
      </c>
      <c r="C355" s="8" t="inlineStr">
        <is>
          <t>墓地利用</t>
        </is>
      </c>
      <c r="D355" s="9" t="inlineStr">
        <is>
          <t>降霊</t>
        </is>
      </c>
      <c r="E355" s="10" t="inlineStr">
        <is>
          <t>Disturb</t>
        </is>
      </c>
      <c r="F355" s="7" t="inlineStr">
        <is>
          <t>702.146</t>
        </is>
      </c>
      <c r="G355" s="8" t="inlineStr">
        <is>
          <t>墓地から裏面で唱えられ、その後戦場を離れる場合は追放される。</t>
        </is>
      </c>
      <c r="H355" s="8" t="inlineStr">
        <is>
          <t>イニストラード：真夜中の狩り (2021)</t>
        </is>
      </c>
      <c r="I355" s="8" t="inlineStr">
        <is>
          <t>捨て札から裏面の別効果で使える両面カード。裏面使用後は廃棄されるので2回使い切りとしてポイント設定。</t>
        </is>
      </c>
      <c r="J355" s="11" t="inlineStr">
        <is>
          <t>中</t>
        </is>
      </c>
      <c r="K355" s="8" t="inlineStr">
        <is>
          <t>捨て札・両面</t>
        </is>
      </c>
      <c r="L355" s="12" t="inlineStr">
        <is>
          <t>△</t>
        </is>
      </c>
      <c r="M355" s="13" t="inlineStr">
        <is>
          <t>両面カード要。捨て札から別効果で使う『余韻』（335）に統合</t>
        </is>
      </c>
    </row>
    <row r="356" ht="29" customHeight="1">
      <c r="A356" s="7" t="n">
        <v>355</v>
      </c>
      <c r="B356" s="8" t="inlineStr">
        <is>
          <t>キーワード能力</t>
        </is>
      </c>
      <c r="C356" s="8" t="inlineStr">
        <is>
          <t>展開・トークン</t>
        </is>
      </c>
      <c r="D356" s="9" t="inlineStr">
        <is>
          <t>腐乱</t>
        </is>
      </c>
      <c r="E356" s="10" t="inlineStr">
        <is>
          <t>Decayed</t>
        </is>
      </c>
      <c r="F356" s="7" t="inlineStr">
        <is>
          <t>702.147</t>
        </is>
      </c>
      <c r="G356" s="8" t="inlineStr">
        <is>
          <t>ブロックできず、攻撃した戦闘の終了時に生け贄に捧げられる。</t>
        </is>
      </c>
      <c r="H356" s="8" t="inlineStr">
        <is>
          <t>イニストラード：真夜中の狩り (2021)</t>
        </is>
      </c>
      <c r="I356" s="8" t="inlineStr">
        <is>
          <t>攻撃1回限りで防御不可の使い捨てトークン。トークンを大量に出すカードの強さを抑える調整弁になる。</t>
        </is>
      </c>
      <c r="J356" s="11" t="inlineStr">
        <is>
          <t>高</t>
        </is>
      </c>
      <c r="K356" s="8" t="inlineStr">
        <is>
          <t>トークン</t>
        </is>
      </c>
      <c r="L356" s="12" t="inlineStr">
        <is>
          <t>◎</t>
        </is>
      </c>
      <c r="M356" s="13" t="inlineStr">
        <is>
          <t>【今回実装：腐乱】今回実装 デメリット『腐乱』decay：攻撃したターンの終了時に破壊される</t>
        </is>
      </c>
    </row>
    <row r="357" ht="29" customHeight="1">
      <c r="A357" s="7" t="n">
        <v>356</v>
      </c>
      <c r="B357" s="8" t="inlineStr">
        <is>
          <t>キーワード能力</t>
        </is>
      </c>
      <c r="C357" s="8" t="inlineStr">
        <is>
          <t>その他</t>
        </is>
      </c>
      <c r="D357" s="9" t="inlineStr">
        <is>
          <t>切除</t>
        </is>
      </c>
      <c r="E357" s="10" t="inlineStr">
        <is>
          <t>Cleave</t>
        </is>
      </c>
      <c r="F357" s="7" t="inlineStr">
        <is>
          <t>702.148</t>
        </is>
      </c>
      <c r="G357" s="8" t="inlineStr">
        <is>
          <t>代替コストで唱えると、文中の角括弧部分が取り除かれ、効果の制限が外れる。</t>
        </is>
      </c>
      <c r="H357" s="8" t="inlineStr">
        <is>
          <t>イニストラード：真紅の契り (2021)</t>
        </is>
      </c>
      <c r="I357" s="8" t="inlineStr">
        <is>
          <t>通常は条件付きの効果が、追加エネルギーを払うと条件なしになる。文面の一部が消える演出もデジタルなら簡単。</t>
        </is>
      </c>
      <c r="J357" s="11" t="inlineStr">
        <is>
          <t>高</t>
        </is>
      </c>
      <c r="K357" s="8" t="inlineStr">
        <is>
          <t>エネルギー</t>
        </is>
      </c>
      <c r="L357" s="12" t="inlineStr">
        <is>
          <t>△</t>
        </is>
      </c>
      <c r="M357" s="13" t="inlineStr">
        <is>
          <t>追加エナジーで条件を外す。『追加払い』の仕組みの一部として検討</t>
        </is>
      </c>
    </row>
    <row r="358" ht="29" customHeight="1">
      <c r="A358" s="7" t="n">
        <v>357</v>
      </c>
      <c r="B358" s="8" t="inlineStr">
        <is>
          <t>キーワード能力</t>
        </is>
      </c>
      <c r="C358" s="8" t="inlineStr">
        <is>
          <t>成長・カウンター</t>
        </is>
      </c>
      <c r="D358" s="9" t="inlineStr">
        <is>
          <t>訓練</t>
        </is>
      </c>
      <c r="E358" s="10" t="inlineStr">
        <is>
          <t>Training</t>
        </is>
      </c>
      <c r="F358" s="7" t="inlineStr">
        <is>
          <t>702.149</t>
        </is>
      </c>
      <c r="G358" s="8" t="inlineStr">
        <is>
          <t>これよりパワーが大きいクリーチャーと共に攻撃するたび、+1/+1カウンターを1個置く。</t>
        </is>
      </c>
      <c r="H358" s="8" t="inlineStr">
        <is>
          <t>イニストラード：真紅の契り (2021)</t>
        </is>
      </c>
      <c r="I358" s="8" t="inlineStr">
        <is>
          <t>自分より強い味方と同じターンに攻撃すると永続+1。強いユニットと弱いユニットの組み合わせに意味を持たせる。</t>
        </is>
      </c>
      <c r="J358" s="11" t="inlineStr">
        <is>
          <t>高</t>
        </is>
      </c>
      <c r="K358" s="8" t="inlineStr">
        <is>
          <t>ユニット</t>
        </is>
      </c>
      <c r="L358" s="12" t="inlineStr">
        <is>
          <t>◎</t>
        </is>
      </c>
      <c r="M358" s="13" t="inlineStr">
        <is>
          <t>【今回実装：条件『このモンスターより攻撃力の高い自分のモンスターがいる』（攻撃するたび＋鍛錬＝訓練）（`strongerAlly`・バッチA）】（審査時は○）キーワード『訓練N』：攻撃力がこれより高い味方がいる状態で攻撃するたび攻撃力+N/体力+N。進化と重複気味</t>
        </is>
      </c>
    </row>
    <row r="359" ht="29" customHeight="1">
      <c r="A359" s="7" t="n">
        <v>358</v>
      </c>
      <c r="B359" s="8" t="inlineStr">
        <is>
          <t>キーワード能力</t>
        </is>
      </c>
      <c r="C359" s="8" t="inlineStr">
        <is>
          <t>コスト・リソース</t>
        </is>
      </c>
      <c r="D359" s="9" t="inlineStr">
        <is>
          <t>完成化</t>
        </is>
      </c>
      <c r="E359" s="10" t="inlineStr">
        <is>
          <t>Compleated</t>
        </is>
      </c>
      <c r="F359" s="7" t="inlineStr">
        <is>
          <t>702.150</t>
        </is>
      </c>
      <c r="G359" s="8" t="inlineStr">
        <is>
          <t>ファイレクシア・マナをライフで払って出すと、払った数に応じて忠誠カウンターが少なく出る。</t>
        </is>
      </c>
      <c r="H359" s="8" t="inlineStr">
        <is>
          <t>神河：輝ける世界 (2022)</t>
        </is>
      </c>
      <c r="I359" s="8" t="inlineStr">
        <is>
          <t>エネルギーの代わりにHPで支払えるが、その場合カードの耐久値や回数が減る。不足時の代替手段として使える。</t>
        </is>
      </c>
      <c r="J359" s="11" t="inlineStr">
        <is>
          <t>高</t>
        </is>
      </c>
      <c r="K359" s="10" t="inlineStr">
        <is>
          <t>HP支払い</t>
        </is>
      </c>
      <c r="L359" s="12" t="inlineStr">
        <is>
          <t>×</t>
        </is>
      </c>
      <c r="M359" s="13" t="inlineStr">
        <is>
          <t>既存：デメリット「自傷」（HPで支払う感覚）</t>
        </is>
      </c>
    </row>
    <row r="360" ht="29" customHeight="1">
      <c r="A360" s="7" t="n">
        <v>359</v>
      </c>
      <c r="B360" s="8" t="inlineStr">
        <is>
          <t>キーワード能力</t>
        </is>
      </c>
      <c r="C360" s="8" t="inlineStr">
        <is>
          <t>強化</t>
        </is>
      </c>
      <c r="D360" s="9" t="inlineStr">
        <is>
          <t>換装</t>
        </is>
      </c>
      <c r="E360" s="10" t="inlineStr">
        <is>
          <t>Reconfigure</t>
        </is>
      </c>
      <c r="F360" s="7" t="inlineStr">
        <is>
          <t>702.151</t>
        </is>
      </c>
      <c r="G360" s="8" t="inlineStr">
        <is>
          <t>コストを払うとクリーチャーから装備品になって付き、外すと再びクリーチャーとして振る舞う。</t>
        </is>
      </c>
      <c r="H360" s="8" t="inlineStr">
        <is>
          <t>神河：輝ける世界 (2022)</t>
        </is>
      </c>
      <c r="I360" s="8" t="inlineStr">
        <is>
          <t>ユニット形態と装備形態をエネルギーで切り替えられるカード。形態フラグ1つで管理できる。</t>
        </is>
      </c>
      <c r="J360" s="11" t="inlineStr">
        <is>
          <t>中</t>
        </is>
      </c>
      <c r="K360" s="8" t="inlineStr">
        <is>
          <t>ユニット・装備</t>
        </is>
      </c>
      <c r="L360" s="12" t="inlineStr">
        <is>
          <t>×</t>
        </is>
      </c>
      <c r="M360" s="13" t="inlineStr">
        <is>
          <t>装備の仕組みが無い</t>
        </is>
      </c>
    </row>
    <row r="361" ht="29" customHeight="1">
      <c r="A361" s="7" t="n">
        <v>360</v>
      </c>
      <c r="B361" s="8" t="inlineStr">
        <is>
          <t>キーワード能力</t>
        </is>
      </c>
      <c r="C361" s="8" t="inlineStr">
        <is>
          <t>攻撃</t>
        </is>
      </c>
      <c r="D361" s="9" t="inlineStr">
        <is>
          <t>奇襲</t>
        </is>
      </c>
      <c r="E361" s="10" t="inlineStr">
        <is>
          <t>Blitz</t>
        </is>
      </c>
      <c r="F361" s="7" t="inlineStr">
        <is>
          <t>702.152</t>
        </is>
      </c>
      <c r="G361" s="8" t="inlineStr">
        <is>
          <t>代替コストで唱えると速攻と死亡時1枚引く能力を得て、ターン終了時に生け贄に捧げられる。</t>
        </is>
      </c>
      <c r="H361" s="8" t="inlineStr">
        <is>
          <t>ニューカペナの街角 (2022)</t>
        </is>
      </c>
      <c r="I361" s="8" t="inlineStr">
        <is>
          <t>即行動でき、ターン終了時に廃棄され、廃棄時に1ドローする使い捨て召喚モード。通常モードとの選択式にする。</t>
        </is>
      </c>
      <c r="J361" s="11" t="inlineStr">
        <is>
          <t>中</t>
        </is>
      </c>
      <c r="K361" s="8" t="inlineStr">
        <is>
          <t>ユニット</t>
        </is>
      </c>
      <c r="L361" s="12" t="inlineStr">
        <is>
          <t>◎</t>
        </is>
      </c>
      <c r="M361" s="13" t="inlineStr">
        <is>
          <t>【今回実装：寿命】今回の要素で作れる：速攻＋『寿命1』＋破壊されたとき ドロー（#312と統合）</t>
        </is>
      </c>
    </row>
    <row r="362" ht="33" customHeight="1">
      <c r="A362" s="7" t="n">
        <v>361</v>
      </c>
      <c r="B362" s="8" t="inlineStr">
        <is>
          <t>キーワード能力</t>
        </is>
      </c>
      <c r="C362" s="8" t="inlineStr">
        <is>
          <t>コスト・リソース</t>
        </is>
      </c>
      <c r="D362" s="9" t="inlineStr">
        <is>
          <t>犠牲</t>
        </is>
      </c>
      <c r="E362" s="10" t="inlineStr">
        <is>
          <t>Casualty</t>
        </is>
      </c>
      <c r="F362" s="7" t="inlineStr">
        <is>
          <t>702.153</t>
        </is>
      </c>
      <c r="G362" s="8" t="inlineStr">
        <is>
          <t>唱える際にパワーN以上のクリーチャーを生け贄に捧げてよく、そうするとその呪文をコピーする。</t>
        </is>
      </c>
      <c r="H362" s="8" t="inlineStr">
        <is>
          <t>ニューカペナの街角 (2022)</t>
        </is>
      </c>
      <c r="I362" s="8" t="inlineStr">
        <is>
          <t>味方1体を犠牲にすると効果が2回発動する。犠牲にするユニットの最低攻撃力をNで指定し、ポイントを調整する。</t>
        </is>
      </c>
      <c r="J362" s="11" t="inlineStr">
        <is>
          <t>中</t>
        </is>
      </c>
      <c r="K362" s="8" t="inlineStr">
        <is>
          <t>ユニット</t>
        </is>
      </c>
      <c r="L362" s="12" t="inlineStr">
        <is>
          <t>△</t>
        </is>
      </c>
      <c r="M362" s="13" t="inlineStr">
        <is>
          <t>生け贄で効果を2回。生け贄の仕組み（313）ができたら修飾『生け贄で2回』</t>
        </is>
      </c>
    </row>
    <row r="363" ht="33" customHeight="1">
      <c r="A363" s="7" t="n">
        <v>362</v>
      </c>
      <c r="B363" s="8" t="inlineStr">
        <is>
          <t>キーワード能力</t>
        </is>
      </c>
      <c r="C363" s="8" t="inlineStr">
        <is>
          <t>強化</t>
        </is>
      </c>
      <c r="D363" s="9" t="inlineStr">
        <is>
          <t>後援</t>
        </is>
      </c>
      <c r="E363" s="10" t="inlineStr">
        <is>
          <t>Enlist</t>
        </is>
      </c>
      <c r="F363" s="7" t="inlineStr">
        <is>
          <t>702.154</t>
        </is>
      </c>
      <c r="G363" s="8" t="inlineStr">
        <is>
          <t>攻撃時、攻撃していない自軍クリーチャー1体をタップすると、そのパワー分だけこれのパワーが上がる。</t>
        </is>
      </c>
      <c r="H363" s="8" t="inlineStr">
        <is>
          <t>団結のドミナリア (2022)</t>
        </is>
      </c>
      <c r="I363" s="8" t="inlineStr">
        <is>
          <t>攻撃時に待機中のユニット1体を行動済みにし、その攻撃力を上乗せする。2体分の攻撃を1点に集中できる。</t>
        </is>
      </c>
      <c r="J363" s="11" t="inlineStr">
        <is>
          <t>中</t>
        </is>
      </c>
      <c r="K363" s="8" t="inlineStr">
        <is>
          <t>ユニット</t>
        </is>
      </c>
      <c r="L363" s="12" t="inlineStr">
        <is>
          <t>△</t>
        </is>
      </c>
      <c r="M363" s="13" t="inlineStr">
        <is>
          <t>タップ振り替え不可。アレンジ：攻撃時、味方1体の攻撃力ぶんこのターン加算しその味方は攻撃済みに</t>
        </is>
      </c>
    </row>
    <row r="364" ht="25" customHeight="1">
      <c r="A364" s="7" t="n">
        <v>363</v>
      </c>
      <c r="B364" s="8" t="inlineStr">
        <is>
          <t>キーワード能力</t>
        </is>
      </c>
      <c r="C364" s="8" t="inlineStr">
        <is>
          <t>その他</t>
        </is>
      </c>
      <c r="D364" s="9" t="inlineStr">
        <is>
          <t>先読</t>
        </is>
      </c>
      <c r="E364" s="10" t="inlineStr">
        <is>
          <t>Read ahead</t>
        </is>
      </c>
      <c r="F364" s="7" t="inlineStr">
        <is>
          <t>702.155</t>
        </is>
      </c>
      <c r="G364" s="8" t="inlineStr">
        <is>
          <t>英雄譚が出る際に何章から始めるかを選べ、それより前の章能力は誘発しない。</t>
        </is>
      </c>
      <c r="H364" s="8" t="inlineStr">
        <is>
          <t>団結のドミナリア (2022)</t>
        </is>
      </c>
      <c r="I364" s="8" t="inlineStr">
        <is>
          <t>数ターンかけて段階的に効果が出る物語カードの開始段階を選べる。早く終盤効果に飛ぶか全部使うかの選択。</t>
        </is>
      </c>
      <c r="J364" s="11" t="inlineStr">
        <is>
          <t>中</t>
        </is>
      </c>
      <c r="K364" s="8" t="inlineStr">
        <is>
          <t>多段階カード</t>
        </is>
      </c>
      <c r="L364" s="12" t="inlineStr">
        <is>
          <t>×</t>
        </is>
      </c>
      <c r="M364" s="13" t="inlineStr">
        <is>
          <t>英雄譚（多段階カード）が無い</t>
        </is>
      </c>
    </row>
    <row r="365" ht="45.5" customHeight="1">
      <c r="A365" s="7" t="n">
        <v>364</v>
      </c>
      <c r="B365" s="8" t="inlineStr">
        <is>
          <t>キーワード能力</t>
        </is>
      </c>
      <c r="C365" s="8" t="inlineStr">
        <is>
          <t>成長・カウンター</t>
        </is>
      </c>
      <c r="D365" s="9" t="inlineStr">
        <is>
          <t>貪欲</t>
        </is>
      </c>
      <c r="E365" s="10" t="inlineStr">
        <is>
          <t>Ravenous</t>
        </is>
      </c>
      <c r="F365" s="7" t="inlineStr">
        <is>
          <t>702.156</t>
        </is>
      </c>
      <c r="G365" s="10" t="inlineStr">
        <is>
          <t>X付きのコストで唱え、+1/+1カウンターX個を置いて出る。Xが5以上ならカードを1枚引く。</t>
        </is>
      </c>
      <c r="H365" s="8" t="inlineStr">
        <is>
          <t>『ウォーハンマー40,000』統率者デッキ (2022)</t>
        </is>
      </c>
      <c r="I365" s="8" t="inlineStr">
        <is>
          <t>注いだエネルギー量だけ数値が上がる可変コストカード。一定量を超えると追加ボーナスが付く。</t>
        </is>
      </c>
      <c r="J365" s="11" t="inlineStr">
        <is>
          <t>高</t>
        </is>
      </c>
      <c r="K365" s="8" t="inlineStr">
        <is>
          <t>可変コスト</t>
        </is>
      </c>
      <c r="L365" s="12" t="inlineStr">
        <is>
          <t>◎</t>
        </is>
      </c>
      <c r="M365" s="13" t="inlineStr">
        <is>
          <t>【今回実装：X（全力）】修飾『X』xEnergy に統合（#600）</t>
        </is>
      </c>
    </row>
    <row r="366" ht="45.5" customHeight="1">
      <c r="A366" s="7" t="n">
        <v>365</v>
      </c>
      <c r="B366" s="8" t="inlineStr">
        <is>
          <t>キーワード能力</t>
        </is>
      </c>
      <c r="C366" s="8" t="inlineStr">
        <is>
          <t>展開・トークン</t>
        </is>
      </c>
      <c r="D366" s="9" t="inlineStr">
        <is>
          <t>分隊</t>
        </is>
      </c>
      <c r="E366" s="10" t="inlineStr">
        <is>
          <t>Squad</t>
        </is>
      </c>
      <c r="F366" s="7" t="inlineStr">
        <is>
          <t>702.157</t>
        </is>
      </c>
      <c r="G366" s="8" t="inlineStr">
        <is>
          <t>追加コストを何回でも払え、払った回数分だけ出た時にトークン・コピーを生成する。</t>
        </is>
      </c>
      <c r="H366" s="8" t="inlineStr">
        <is>
          <t>『ウォーハンマー40,000』統率者デッキ (2022)</t>
        </is>
      </c>
      <c r="I366" s="8" t="inlineStr">
        <is>
          <t>追加エネルギー1回ごとに同じユニットのコピーを1体追加する。余ったエネルギーを展開に変換できる。</t>
        </is>
      </c>
      <c r="J366" s="11" t="inlineStr">
        <is>
          <t>中</t>
        </is>
      </c>
      <c r="K366" s="8" t="inlineStr">
        <is>
          <t>トークン</t>
        </is>
      </c>
      <c r="L366" s="12" t="inlineStr">
        <is>
          <t>△</t>
        </is>
      </c>
      <c r="M366" s="13" t="inlineStr">
        <is>
          <t>追加払い＋トークン。トークン実装後</t>
        </is>
      </c>
    </row>
    <row r="367" ht="41.5" customHeight="1">
      <c r="A367" s="7" t="n">
        <v>366</v>
      </c>
      <c r="B367" s="8" t="inlineStr">
        <is>
          <t>キーワード能力</t>
        </is>
      </c>
      <c r="C367" s="8" t="inlineStr">
        <is>
          <t>ルール基盤</t>
        </is>
      </c>
      <c r="D367" s="9" t="inlineStr">
        <is>
          <t>宇宙を刻む者</t>
        </is>
      </c>
      <c r="E367" s="10" t="inlineStr">
        <is>
          <t>Space sculptor</t>
        </is>
      </c>
      <c r="F367" s="7" t="inlineStr">
        <is>
          <t>702.158</t>
        </is>
      </c>
      <c r="G367" s="8" t="inlineStr">
        <is>
          <t>戦場のクリーチャーをアルファ・ベータ・ガンマの3区画に割り振り、区画を参照する効果が使えるようになる。</t>
        </is>
      </c>
      <c r="H367" s="10" t="inlineStr">
        <is>
          <t>Unfinity (2022)</t>
        </is>
      </c>
      <c r="I367" s="8" t="inlineStr">
        <is>
          <t>盤面を3レーンに分け、レーン単位で効果を当てる。レーン制バトルを導入するならその土台になる。</t>
        </is>
      </c>
      <c r="J367" s="11" t="inlineStr">
        <is>
          <t>低</t>
        </is>
      </c>
      <c r="K367" s="8" t="inlineStr">
        <is>
          <t>レーン・配置</t>
        </is>
      </c>
      <c r="L367" s="12" t="inlineStr">
        <is>
          <t>×</t>
        </is>
      </c>
      <c r="M367" s="13" t="inlineStr">
        <is>
          <t>レーン制が無い</t>
        </is>
      </c>
    </row>
    <row r="368" ht="25" customHeight="1">
      <c r="A368" s="7" t="n">
        <v>367</v>
      </c>
      <c r="B368" s="8" t="inlineStr">
        <is>
          <t>キーワード能力</t>
        </is>
      </c>
      <c r="C368" s="8" t="inlineStr">
        <is>
          <t>その他</t>
        </is>
      </c>
      <c r="D368" s="9" t="inlineStr">
        <is>
          <t>観覧</t>
        </is>
      </c>
      <c r="E368" s="10" t="inlineStr">
        <is>
          <t>Visit</t>
        </is>
      </c>
      <c r="F368" s="7" t="inlineStr">
        <is>
          <t>702.159</t>
        </is>
      </c>
      <c r="G368" s="8" t="inlineStr">
        <is>
          <t>アトラクションに付く能力で、毎ターン振るダイスの出目が点灯番号と合うと誘発する。</t>
        </is>
      </c>
      <c r="H368" s="10" t="inlineStr">
        <is>
          <t>Unfinity (2022)</t>
        </is>
      </c>
      <c r="I368" s="8" t="inlineStr">
        <is>
          <t>毎ターン自動で振るダイスの出目に応じて常駐カードの効果が発動する。乱数演出をデジタルで見せやすい。</t>
        </is>
      </c>
      <c r="J368" s="11" t="inlineStr">
        <is>
          <t>中</t>
        </is>
      </c>
      <c r="K368" s="8" t="inlineStr">
        <is>
          <t>乱数・常駐枠</t>
        </is>
      </c>
      <c r="L368" s="12" t="inlineStr">
        <is>
          <t>×</t>
        </is>
      </c>
      <c r="M368" s="13" t="inlineStr">
        <is>
          <t>ダイス・アトラクション前提。ランダムはパワーで代用可</t>
        </is>
      </c>
    </row>
    <row r="369" ht="29" customHeight="1">
      <c r="A369" s="7" t="n">
        <v>368</v>
      </c>
      <c r="B369" s="8" t="inlineStr">
        <is>
          <t>キーワード能力</t>
        </is>
      </c>
      <c r="C369" s="8" t="inlineStr">
        <is>
          <t>その他</t>
        </is>
      </c>
      <c r="D369" s="9" t="inlineStr">
        <is>
          <t>試作</t>
        </is>
      </c>
      <c r="E369" s="10" t="inlineStr">
        <is>
          <t>Prototype</t>
        </is>
      </c>
      <c r="F369" s="7" t="inlineStr">
        <is>
          <t>702.160</t>
        </is>
      </c>
      <c r="G369" s="8" t="inlineStr">
        <is>
          <t>より軽いコストと小さなサイズの試作版として唱えることもでき、その場合は別の色やP/Tになる。</t>
        </is>
      </c>
      <c r="H369" s="8" t="inlineStr">
        <is>
          <t>兄弟戦争 (2022)</t>
        </is>
      </c>
      <c r="I369" s="10" t="inlineStr">
        <is>
          <t>1枚に安い弱版と高い強版の2つの数値を持たせ、使用時に選ぶ。ポイントは両方の版を合算して計上する。</t>
        </is>
      </c>
      <c r="J369" s="11" t="inlineStr">
        <is>
          <t>高</t>
        </is>
      </c>
      <c r="K369" s="8" t="inlineStr">
        <is>
          <t>なし</t>
        </is>
      </c>
      <c r="L369" s="12" t="inlineStr">
        <is>
          <t>△</t>
        </is>
      </c>
      <c r="M369" s="13" t="inlineStr">
        <is>
          <t>弱版／強版の2つの数値を持つカード。選択UI要、エディター負担大</t>
        </is>
      </c>
    </row>
    <row r="370" ht="25" customHeight="1">
      <c r="A370" s="7" t="n">
        <v>369</v>
      </c>
      <c r="B370" s="8" t="inlineStr">
        <is>
          <t>キーワード能力</t>
        </is>
      </c>
      <c r="C370" s="8" t="inlineStr">
        <is>
          <t>その他</t>
        </is>
      </c>
      <c r="D370" s="9" t="inlineStr">
        <is>
          <t>金属生命体</t>
        </is>
      </c>
      <c r="E370" s="10" t="inlineStr">
        <is>
          <t>Living metal</t>
        </is>
      </c>
      <c r="F370" s="7" t="inlineStr">
        <is>
          <t>702.161</t>
        </is>
      </c>
      <c r="G370" s="8" t="inlineStr">
        <is>
          <t>自分のターンの間、このアーティファクトはアーティファクト・クリーチャーでもある。</t>
        </is>
      </c>
      <c r="H370" s="8" t="inlineStr">
        <is>
          <t>兄弟戦争 (2022)</t>
        </is>
      </c>
      <c r="I370" s="8" t="inlineStr">
        <is>
          <t>自分のターンだけ攻撃ユニットとして動く装備やアイテム。ターン判定による状態切り替えで実装できる。</t>
        </is>
      </c>
      <c r="J370" s="11" t="inlineStr">
        <is>
          <t>高</t>
        </is>
      </c>
      <c r="K370" s="8" t="inlineStr">
        <is>
          <t>ターン判定</t>
        </is>
      </c>
      <c r="L370" s="12" t="inlineStr">
        <is>
          <t>×</t>
        </is>
      </c>
      <c r="M370" s="13" t="inlineStr">
        <is>
          <t>アーティファクト前提</t>
        </is>
      </c>
    </row>
    <row r="371" ht="25" customHeight="1">
      <c r="A371" s="7" t="n">
        <v>370</v>
      </c>
      <c r="B371" s="8" t="inlineStr">
        <is>
          <t>キーワード能力</t>
        </is>
      </c>
      <c r="C371" s="8" t="inlineStr">
        <is>
          <t>その他</t>
        </is>
      </c>
      <c r="D371" s="9" t="inlineStr">
        <is>
          <t>見た目以上のもの</t>
        </is>
      </c>
      <c r="E371" s="10" t="inlineStr">
        <is>
          <t>More than meets the eye</t>
        </is>
      </c>
      <c r="F371" s="7" t="inlineStr">
        <is>
          <t>702.162</t>
        </is>
      </c>
      <c r="G371" s="8" t="inlineStr">
        <is>
          <t>両面カードを、代替コストで変身した面のまま唱えられる。</t>
        </is>
      </c>
      <c r="H371" s="8" t="inlineStr">
        <is>
          <t>兄弟戦争 (2022)</t>
        </is>
      </c>
      <c r="I371" s="8" t="inlineStr">
        <is>
          <t>両面カードの裏面を直接割安で出せる。表と裏の数値・効果を別々に設計し、両面分のポイントを計上する。</t>
        </is>
      </c>
      <c r="J371" s="11" t="inlineStr">
        <is>
          <t>中</t>
        </is>
      </c>
      <c r="K371" s="8" t="inlineStr">
        <is>
          <t>両面カード</t>
        </is>
      </c>
      <c r="L371" s="12" t="inlineStr">
        <is>
          <t>×</t>
        </is>
      </c>
      <c r="M371" s="13" t="inlineStr">
        <is>
          <t>両面カード前提</t>
        </is>
      </c>
    </row>
    <row r="372" ht="29" customHeight="1">
      <c r="A372" s="7" t="n">
        <v>371</v>
      </c>
      <c r="B372" s="8" t="inlineStr">
        <is>
          <t>キーワード能力</t>
        </is>
      </c>
      <c r="C372" s="8" t="inlineStr">
        <is>
          <t>展開・トークン</t>
        </is>
      </c>
      <c r="D372" s="9" t="inlineStr">
        <is>
          <t>ミラディンのために！</t>
        </is>
      </c>
      <c r="E372" s="10" t="inlineStr">
        <is>
          <t>For Mirrodin!</t>
        </is>
      </c>
      <c r="F372" s="7" t="inlineStr">
        <is>
          <t>702.163</t>
        </is>
      </c>
      <c r="G372" s="8" t="inlineStr">
        <is>
          <t>出た時、2/2の赤のレベル・クリーチャー・トークンを生成し、この装備品を付ける。</t>
        </is>
      </c>
      <c r="H372" s="8" t="inlineStr">
        <is>
          <t>ファイレクシア：完全なる統一 (2023)</t>
        </is>
      </c>
      <c r="I372" s="8" t="inlineStr">
        <is>
          <t>装備カードを使うと装着先の小型ユニットも自動で出る。味方がいなくても装備が無駄にならない保証。</t>
        </is>
      </c>
      <c r="J372" s="11" t="inlineStr">
        <is>
          <t>中</t>
        </is>
      </c>
      <c r="K372" s="8" t="inlineStr">
        <is>
          <t>ユニット・装備</t>
        </is>
      </c>
      <c r="L372" s="12" t="inlineStr">
        <is>
          <t>×</t>
        </is>
      </c>
      <c r="M372" s="13" t="inlineStr">
        <is>
          <t>装備前提</t>
        </is>
      </c>
    </row>
    <row r="373" ht="29" customHeight="1">
      <c r="A373" s="7" t="n">
        <v>372</v>
      </c>
      <c r="B373" s="8" t="inlineStr">
        <is>
          <t>キーワード能力</t>
        </is>
      </c>
      <c r="C373" s="8" t="inlineStr">
        <is>
          <t>勝利条件</t>
        </is>
      </c>
      <c r="D373" s="9" t="inlineStr">
        <is>
          <t>毒性</t>
        </is>
      </c>
      <c r="E373" s="10" t="inlineStr">
        <is>
          <t>Toxic</t>
        </is>
      </c>
      <c r="F373" s="7" t="inlineStr">
        <is>
          <t>702.164</t>
        </is>
      </c>
      <c r="G373" s="8" t="inlineStr">
        <is>
          <t>プレイヤーに戦闘ダメージを与えると、さらに毒カウンターをN個与える。</t>
        </is>
      </c>
      <c r="H373" s="8" t="inlineStr">
        <is>
          <t>ファイレクシア：完全なる統一 (2023)</t>
        </is>
      </c>
      <c r="I373" s="8" t="inlineStr">
        <is>
          <t>本体攻撃のたび相手に毒を累積させ、一定値でHPに関係なく敗北、または毎ターン毒ダメージ。別勝利ルートになる。</t>
        </is>
      </c>
      <c r="J373" s="11" t="inlineStr">
        <is>
          <t>高</t>
        </is>
      </c>
      <c r="K373" s="8" t="inlineStr">
        <is>
          <t>本体ダメージ</t>
        </is>
      </c>
      <c r="L373" s="12" t="inlineStr">
        <is>
          <t>◎</t>
        </is>
      </c>
      <c r="M373" s="13" t="inlineStr">
        <is>
          <t>【今回実装：相手プレイヤーにダメージを与えたとき】タイミング『相手プレイヤーにダメージを与えたとき』hitEnemyPlayer＋毒で表現</t>
        </is>
      </c>
    </row>
    <row r="374" ht="41.5" customHeight="1">
      <c r="A374" s="7" t="n">
        <v>373</v>
      </c>
      <c r="B374" s="8" t="inlineStr">
        <is>
          <t>キーワード能力</t>
        </is>
      </c>
      <c r="C374" s="8" t="inlineStr">
        <is>
          <t>強化</t>
        </is>
      </c>
      <c r="D374" s="9" t="inlineStr">
        <is>
          <t>賛助</t>
        </is>
      </c>
      <c r="E374" s="10" t="inlineStr">
        <is>
          <t>Backup</t>
        </is>
      </c>
      <c r="F374" s="7" t="inlineStr">
        <is>
          <t>702.165</t>
        </is>
      </c>
      <c r="G374" s="8" t="inlineStr">
        <is>
          <t>出た時に+1/+1カウンターN個を置き、他のクリーチャーに置いたならターン終了時まで自身の能力も与える。</t>
        </is>
      </c>
      <c r="H374" s="8" t="inlineStr">
        <is>
          <t>機械兵団の進軍 (2023)</t>
        </is>
      </c>
      <c r="I374" s="8" t="inlineStr">
        <is>
          <t>使用時に味方1体を永続+Nし、このターンだけ自分の能力もコピーして与える。デジタルなら能力の一時付与も容易。</t>
        </is>
      </c>
      <c r="J374" s="11" t="inlineStr">
        <is>
          <t>中</t>
        </is>
      </c>
      <c r="K374" s="8" t="inlineStr">
        <is>
          <t>ユニット</t>
        </is>
      </c>
      <c r="L374" s="12" t="inlineStr">
        <is>
          <t>△</t>
        </is>
      </c>
      <c r="M374" s="13" t="inlineStr">
        <is>
          <t>能力の一時付与が重い。攻撃力アップ＋このターン速攻付与程度ならアレンジ可</t>
        </is>
      </c>
    </row>
    <row r="375" ht="41.5" customHeight="1">
      <c r="A375" s="7" t="n">
        <v>374</v>
      </c>
      <c r="B375" s="8" t="inlineStr">
        <is>
          <t>キーワード能力</t>
        </is>
      </c>
      <c r="C375" s="8" t="inlineStr">
        <is>
          <t>コスト・リソース</t>
        </is>
      </c>
      <c r="D375" s="9" t="inlineStr">
        <is>
          <t>協約</t>
        </is>
      </c>
      <c r="E375" s="10" t="inlineStr">
        <is>
          <t>Bargain</t>
        </is>
      </c>
      <c r="F375" s="7" t="inlineStr">
        <is>
          <t>702.166</t>
        </is>
      </c>
      <c r="G375" s="8" t="inlineStr">
        <is>
          <t>唱える際にアーティファクト、エンチャント、トークンのいずれか1つを生け贄にでき、そうすると追加効果を得る。</t>
        </is>
      </c>
      <c r="H375" s="8" t="inlineStr">
        <is>
          <t>エルドレインの森 (2023)</t>
        </is>
      </c>
      <c r="I375" s="8" t="inlineStr">
        <is>
          <t>場の常駐物かトークンを1つ消費すると追加効果。トークン生成カードとの組み合わせを促す。</t>
        </is>
      </c>
      <c r="J375" s="11" t="inlineStr">
        <is>
          <t>中</t>
        </is>
      </c>
      <c r="K375" s="8" t="inlineStr">
        <is>
          <t>常駐カード枠</t>
        </is>
      </c>
      <c r="L375" s="12" t="inlineStr">
        <is>
          <t>△</t>
        </is>
      </c>
      <c r="M375" s="13" t="inlineStr">
        <is>
          <t>生け贄の対象をトークンに。トークンと生け贄の両方が要る</t>
        </is>
      </c>
    </row>
    <row r="376" ht="29" customHeight="1">
      <c r="A376" s="7" t="n">
        <v>375</v>
      </c>
      <c r="B376" s="8" t="inlineStr">
        <is>
          <t>キーワード能力</t>
        </is>
      </c>
      <c r="C376" s="8" t="inlineStr">
        <is>
          <t>墓地利用</t>
        </is>
      </c>
      <c r="D376" s="9" t="inlineStr">
        <is>
          <t>作製</t>
        </is>
      </c>
      <c r="E376" s="10" t="inlineStr">
        <is>
          <t>Craft</t>
        </is>
      </c>
      <c r="F376" s="7" t="inlineStr">
        <is>
          <t>702.167</t>
        </is>
      </c>
      <c r="G376" s="8" t="inlineStr">
        <is>
          <t>コストを払い、これと指定の素材を戦場や墓地から追放すると、変身した状態で戦場に戻る。</t>
        </is>
      </c>
      <c r="H376" s="8" t="inlineStr">
        <is>
          <t>イクサラン：失われし洞窟 (2023)</t>
        </is>
      </c>
      <c r="I376" s="8" t="inlineStr">
        <is>
          <t>捨て札の特定タグのカードを素材として廃棄し、カードを上位形態に作り替える。合成画面のUIが必要。</t>
        </is>
      </c>
      <c r="J376" s="11" t="inlineStr">
        <is>
          <t>中</t>
        </is>
      </c>
      <c r="K376" s="8" t="inlineStr">
        <is>
          <t>捨て札・両面</t>
        </is>
      </c>
      <c r="L376" s="12" t="inlineStr">
        <is>
          <t>×</t>
        </is>
      </c>
      <c r="M376" s="13" t="inlineStr">
        <is>
          <t>捨て札の素材を除外して上位形態へ作り替える合成UIと両面カードが要り重い</t>
        </is>
      </c>
    </row>
    <row r="377" ht="29" customHeight="1">
      <c r="A377" s="7" t="n">
        <v>376</v>
      </c>
      <c r="B377" s="8" t="inlineStr">
        <is>
          <t>キーワード能力</t>
        </is>
      </c>
      <c r="C377" s="8" t="inlineStr">
        <is>
          <t>妨害</t>
        </is>
      </c>
      <c r="D377" s="9" t="inlineStr">
        <is>
          <t>変装</t>
        </is>
      </c>
      <c r="E377" s="10" t="inlineStr">
        <is>
          <t>Disguise</t>
        </is>
      </c>
      <c r="F377" s="7" t="inlineStr">
        <is>
          <t>702.168</t>
        </is>
      </c>
      <c r="G377" s="8" t="inlineStr">
        <is>
          <t>裏向きで(3)で唱えると護法(2)付きの2/2として出て、変装コストを払えば表向きにできる。</t>
        </is>
      </c>
      <c r="H377" s="8" t="inlineStr">
        <is>
          <t>カルロフ邸殺人事件 (2024)</t>
        </is>
      </c>
      <c r="I377" s="8" t="inlineStr">
        <is>
          <t>正体を伏せたまま出し、コストを払うと表になる。正体はサーバー側で隠すのでチート対策もしやすく、ブラフ要素になる。</t>
        </is>
      </c>
      <c r="J377" s="11" t="inlineStr">
        <is>
          <t>中</t>
        </is>
      </c>
      <c r="K377" s="8" t="inlineStr">
        <is>
          <t>隠し情報</t>
        </is>
      </c>
      <c r="L377" s="12" t="inlineStr">
        <is>
          <t>△</t>
        </is>
      </c>
      <c r="M377" s="13" t="inlineStr">
        <is>
          <t>伏せ召喚は隠し情報が要る。オンラインのview層で可能だが後回し</t>
        </is>
      </c>
    </row>
    <row r="378" ht="29" customHeight="1">
      <c r="A378" s="7" t="n">
        <v>377</v>
      </c>
      <c r="B378" s="8" t="inlineStr">
        <is>
          <t>キーワード能力</t>
        </is>
      </c>
      <c r="C378" s="8" t="inlineStr">
        <is>
          <t>条件ボーナス</t>
        </is>
      </c>
      <c r="D378" s="9" t="inlineStr">
        <is>
          <t>解明完了</t>
        </is>
      </c>
      <c r="E378" s="10" t="inlineStr">
        <is>
          <t>Solved</t>
        </is>
      </c>
      <c r="F378" s="7" t="inlineStr">
        <is>
          <t>702.169</t>
        </is>
      </c>
      <c r="G378" s="8" t="inlineStr">
        <is>
          <t>事件は終了ステップ開始時に解明条件を満たすと解明完了になり、以降は記された能力が有効になる。</t>
        </is>
      </c>
      <c r="H378" s="8" t="inlineStr">
        <is>
          <t>カルロフ邸殺人事件 (2024)</t>
        </is>
      </c>
      <c r="I378" s="8" t="inlineStr">
        <is>
          <t>クエストカード化：条件を満たすとターン終了時に解決済みとなり追加効果が解放される。進捗表示UIを付ける。</t>
        </is>
      </c>
      <c r="J378" s="11" t="inlineStr">
        <is>
          <t>中</t>
        </is>
      </c>
      <c r="K378" s="8" t="inlineStr">
        <is>
          <t>クエスト状態</t>
        </is>
      </c>
      <c r="L378" s="12" t="inlineStr">
        <is>
          <t>△</t>
        </is>
      </c>
      <c r="M378" s="13" t="inlineStr">
        <is>
          <t>クエスト状態は面白いがUIと進捗管理が重い</t>
        </is>
      </c>
    </row>
    <row r="379" ht="29" customHeight="1">
      <c r="A379" s="7" t="n">
        <v>378</v>
      </c>
      <c r="B379" s="8" t="inlineStr">
        <is>
          <t>キーワード能力</t>
        </is>
      </c>
      <c r="C379" s="8" t="inlineStr">
        <is>
          <t>コスト・リソース</t>
        </is>
      </c>
      <c r="D379" s="9" t="inlineStr">
        <is>
          <t>計画</t>
        </is>
      </c>
      <c r="E379" s="10" t="inlineStr">
        <is>
          <t>Plot</t>
        </is>
      </c>
      <c r="F379" s="7" t="inlineStr">
        <is>
          <t>702.170</t>
        </is>
      </c>
      <c r="G379" s="8" t="inlineStr">
        <is>
          <t>コストを払って表向きで追放でき、後のターンにマナ・コストを払わず唱えられる（ソーサリー時）。</t>
        </is>
      </c>
      <c r="H379" s="8" t="inlineStr">
        <is>
          <t>サンダー・ジャンクションの無法者 (2024)</t>
        </is>
      </c>
      <c r="I379" s="8" t="inlineStr">
        <is>
          <t>今のターンにコストを払って予約し、次ターン以降に無料で使う。エネルギーの余るターンを有効活用できる。</t>
        </is>
      </c>
      <c r="J379" s="11" t="inlineStr">
        <is>
          <t>中</t>
        </is>
      </c>
      <c r="K379" s="8" t="inlineStr">
        <is>
          <t>保留ゾーン</t>
        </is>
      </c>
      <c r="L379" s="12" t="inlineStr">
        <is>
          <t>△</t>
        </is>
      </c>
      <c r="M379" s="13" t="inlineStr">
        <is>
          <t>保留ゾーン要。『貯金』で近い</t>
        </is>
      </c>
    </row>
    <row r="380" ht="29" customHeight="1">
      <c r="A380" s="7" t="n">
        <v>379</v>
      </c>
      <c r="B380" s="8" t="inlineStr">
        <is>
          <t>キーワード能力</t>
        </is>
      </c>
      <c r="C380" s="8" t="inlineStr">
        <is>
          <t>その他</t>
        </is>
      </c>
      <c r="D380" s="9" t="inlineStr">
        <is>
          <t>騎乗</t>
        </is>
      </c>
      <c r="E380" s="10" t="inlineStr">
        <is>
          <t>Saddle</t>
        </is>
      </c>
      <c r="F380" s="7" t="inlineStr">
        <is>
          <t>702.171</t>
        </is>
      </c>
      <c r="G380" s="8" t="inlineStr">
        <is>
          <t>パワー合計N以上の他の自軍クリーチャーをタップすると、この乗騎がそのターン騎乗状態になる。</t>
        </is>
      </c>
      <c r="H380" s="8" t="inlineStr">
        <is>
          <t>サンダー・ジャンクションの無法者 (2024)</t>
        </is>
      </c>
      <c r="I380" s="8" t="inlineStr">
        <is>
          <t>他ユニットを行動済みにして乗り物を騎乗状態にし、攻撃時のボーナスを解放する。搭乗の攻撃特化版。</t>
        </is>
      </c>
      <c r="J380" s="11" t="inlineStr">
        <is>
          <t>中</t>
        </is>
      </c>
      <c r="K380" s="8" t="inlineStr">
        <is>
          <t>ユニット</t>
        </is>
      </c>
      <c r="L380" s="12" t="inlineStr">
        <is>
          <t>×</t>
        </is>
      </c>
      <c r="M380" s="13" t="inlineStr">
        <is>
          <t>タップ振り替え前提</t>
        </is>
      </c>
    </row>
    <row r="381" ht="29" customHeight="1">
      <c r="A381" s="7" t="n">
        <v>380</v>
      </c>
      <c r="B381" s="8" t="inlineStr">
        <is>
          <t>キーワード能力</t>
        </is>
      </c>
      <c r="C381" s="8" t="inlineStr">
        <is>
          <t>その他</t>
        </is>
      </c>
      <c r="D381" s="9" t="inlineStr">
        <is>
          <t>放題</t>
        </is>
      </c>
      <c r="E381" s="10" t="inlineStr">
        <is>
          <t>Spree</t>
        </is>
      </c>
      <c r="F381" s="7" t="inlineStr">
        <is>
          <t>702.172</t>
        </is>
      </c>
      <c r="G381" s="8" t="inlineStr">
        <is>
          <t>基本コストに加え、選んだモードごとの追加コストを払って、好きな数のモードを選べる。</t>
        </is>
      </c>
      <c r="H381" s="8" t="inlineStr">
        <is>
          <t>サンダー・ジャンクションの無法者 (2024)</t>
        </is>
      </c>
      <c r="I381" s="8" t="inlineStr">
        <is>
          <t>基本コストに各効果の追加コストを足して好きなだけ盛れる。ポイント制の考え方をカード内で再現できる。</t>
        </is>
      </c>
      <c r="J381" s="11" t="inlineStr">
        <is>
          <t>高</t>
        </is>
      </c>
      <c r="K381" s="8" t="inlineStr">
        <is>
          <t>エネルギー</t>
        </is>
      </c>
      <c r="L381" s="12" t="inlineStr">
        <is>
          <t>△</t>
        </is>
      </c>
      <c r="M381" s="13" t="inlineStr">
        <is>
          <t>追加払いで効果を盛る。ポイント制と重複。『追加払い』として検討</t>
        </is>
      </c>
    </row>
    <row r="382" ht="37.5" customHeight="1">
      <c r="A382" s="7" t="n">
        <v>381</v>
      </c>
      <c r="B382" s="8" t="inlineStr">
        <is>
          <t>キーワード能力</t>
        </is>
      </c>
      <c r="C382" s="8" t="inlineStr">
        <is>
          <t>条件ボーナス</t>
        </is>
      </c>
      <c r="D382" s="9" t="inlineStr">
        <is>
          <t>フリーランニング</t>
        </is>
      </c>
      <c r="E382" s="10" t="inlineStr">
        <is>
          <t>Freerunning</t>
        </is>
      </c>
      <c r="F382" s="7" t="inlineStr">
        <is>
          <t>702.173</t>
        </is>
      </c>
      <c r="G382" s="8" t="inlineStr">
        <is>
          <t>このターンに自軍の暗殺者か統率者がプレイヤーに戦闘ダメージを与えていれば、代替コストで唱えられる。</t>
        </is>
      </c>
      <c r="H382" s="8" t="inlineStr">
        <is>
          <t>アサシン クリード (2024)</t>
        </is>
      </c>
      <c r="I382" s="8" t="inlineStr">
        <is>
          <t>特定タグのカードで本体ダメージを通したターンだけコスト割引。タグ付きの攻撃カードとの連携を作れる。</t>
        </is>
      </c>
      <c r="J382" s="11" t="inlineStr">
        <is>
          <t>高</t>
        </is>
      </c>
      <c r="K382" s="8" t="inlineStr">
        <is>
          <t>本体ダメージ</t>
        </is>
      </c>
      <c r="L382" s="12" t="inlineStr">
        <is>
          <t>◎</t>
        </is>
      </c>
      <c r="M382" s="13" t="inlineStr">
        <is>
          <t>【今回実装：このターン相手にダメージを与えた】条件 enemyDamagedThisTurn に統合（#256）</t>
        </is>
      </c>
    </row>
    <row r="383" ht="29" customHeight="1">
      <c r="A383" s="7" t="n">
        <v>382</v>
      </c>
      <c r="B383" s="8" t="inlineStr">
        <is>
          <t>キーワード能力</t>
        </is>
      </c>
      <c r="C383" s="8" t="inlineStr">
        <is>
          <t>多人数・交流</t>
        </is>
      </c>
      <c r="D383" s="9" t="inlineStr">
        <is>
          <t>贈呈</t>
        </is>
      </c>
      <c r="E383" s="10" t="inlineStr">
        <is>
          <t>Gift</t>
        </is>
      </c>
      <c r="F383" s="7" t="inlineStr">
        <is>
          <t>702.174</t>
        </is>
      </c>
      <c r="G383" s="8" t="inlineStr">
        <is>
          <t>唱える際に対戦相手1人に贈り物を約束でき、相手が得をする代わりに呪文に追加効果がつく。</t>
        </is>
      </c>
      <c r="H383" s="8" t="inlineStr">
        <is>
          <t>ブルームバロウ (2024)</t>
        </is>
      </c>
      <c r="I383" s="8" t="inlineStr">
        <is>
          <t>相手に1ドローや回復を与える代わりに自分の効果を強化する選択肢。相手に利益を与える分、ポイントを割り引く。</t>
        </is>
      </c>
      <c r="J383" s="11" t="inlineStr">
        <is>
          <t>高</t>
        </is>
      </c>
      <c r="K383" s="8" t="inlineStr">
        <is>
          <t>なし</t>
        </is>
      </c>
      <c r="L383" s="12" t="inlineStr">
        <is>
          <t>×</t>
        </is>
      </c>
      <c r="M383" s="13" t="inlineStr">
        <is>
          <t>既存：デメリット「施し」（相手に得をさせて予算を得る）</t>
        </is>
      </c>
    </row>
    <row r="384" ht="29" customHeight="1">
      <c r="A384" s="7" t="n">
        <v>383</v>
      </c>
      <c r="B384" s="8" t="inlineStr">
        <is>
          <t>キーワード能力</t>
        </is>
      </c>
      <c r="C384" s="8" t="inlineStr">
        <is>
          <t>展開・トークン</t>
        </is>
      </c>
      <c r="D384" s="9" t="inlineStr">
        <is>
          <t>新生</t>
        </is>
      </c>
      <c r="E384" s="10" t="inlineStr">
        <is>
          <t>Offspring</t>
        </is>
      </c>
      <c r="F384" s="7" t="inlineStr">
        <is>
          <t>702.175</t>
        </is>
      </c>
      <c r="G384" s="8" t="inlineStr">
        <is>
          <t>追加コストを払って唱えると、出た時に1/1のトークン・コピーも生成する。</t>
        </is>
      </c>
      <c r="H384" s="8" t="inlineStr">
        <is>
          <t>ブルームバロウ (2024)</t>
        </is>
      </c>
      <c r="I384" s="8" t="inlineStr">
        <is>
          <t>追加エネルギーで、数値1/1のミニコピーも同時に出る。能力だけを複製するので、能力の強いカードほど価値が高い。</t>
        </is>
      </c>
      <c r="J384" s="11" t="inlineStr">
        <is>
          <t>中</t>
        </is>
      </c>
      <c r="K384" s="8" t="inlineStr">
        <is>
          <t>トークン</t>
        </is>
      </c>
      <c r="L384" s="12" t="inlineStr">
        <is>
          <t>◎</t>
        </is>
      </c>
      <c r="M384" s="13" t="inlineStr">
        <is>
          <t>【今回実装：効果『新生』（複写トークン。キッカーと組める）（`offspring`・バッチB）】（審査時は○）召喚時に『トークン生成』で1/1のコピー。トークン実装後、能力の複製は重いので数値のみ</t>
        </is>
      </c>
    </row>
    <row r="385" ht="45.5" customHeight="1">
      <c r="A385" s="7" t="n">
        <v>384</v>
      </c>
      <c r="B385" s="8" t="inlineStr">
        <is>
          <t>キーワード能力</t>
        </is>
      </c>
      <c r="C385" s="8" t="inlineStr">
        <is>
          <t>成長・カウンター</t>
        </is>
      </c>
      <c r="D385" s="9" t="inlineStr">
        <is>
          <t>兆候</t>
        </is>
      </c>
      <c r="E385" s="10" t="inlineStr">
        <is>
          <t>Impending</t>
        </is>
      </c>
      <c r="F385" s="7" t="inlineStr">
        <is>
          <t>702.176</t>
        </is>
      </c>
      <c r="G385" s="8" t="inlineStr">
        <is>
          <t>代替コストで唱えると時間カウンターN個付きのクリーチャーでない状態で出て、毎ターン減り0で本体化する。</t>
        </is>
      </c>
      <c r="H385" s="8" t="inlineStr">
        <is>
          <t>ダスクモーン：戦慄の館 (2024)</t>
        </is>
      </c>
      <c r="I385" s="8" t="inlineStr">
        <is>
          <t>安く出すと数ターン後に本体化するカウントダウンカード。待機中も副効果は働く。残りターン数を表示する。</t>
        </is>
      </c>
      <c r="J385" s="11" t="inlineStr">
        <is>
          <t>中</t>
        </is>
      </c>
      <c r="K385" s="8" t="inlineStr">
        <is>
          <t>カウントダウン</t>
        </is>
      </c>
      <c r="L385" s="12" t="inlineStr">
        <is>
          <t>△</t>
        </is>
      </c>
      <c r="M385" s="13" t="inlineStr">
        <is>
          <t>カウントダウン召喚。パワーの仕組みで「Nターン後に召喚」効果ならアレンジ可</t>
        </is>
      </c>
    </row>
    <row r="386" ht="29" customHeight="1">
      <c r="A386" s="7" t="n">
        <v>385</v>
      </c>
      <c r="B386" s="8" t="inlineStr">
        <is>
          <t>キーワード能力</t>
        </is>
      </c>
      <c r="C386" s="8" t="inlineStr">
        <is>
          <t>コスト・リソース</t>
        </is>
      </c>
      <c r="D386" s="9" t="inlineStr">
        <is>
          <t>消尽</t>
        </is>
      </c>
      <c r="E386" s="10" t="inlineStr">
        <is>
          <t>Exhaust</t>
        </is>
      </c>
      <c r="F386" s="7" t="inlineStr">
        <is>
          <t>702.177</t>
        </is>
      </c>
      <c r="G386" s="8" t="inlineStr">
        <is>
          <t>この起動型能力は1ゲームに1回しか起動できない。</t>
        </is>
      </c>
      <c r="H386" s="8" t="inlineStr">
        <is>
          <t>霊気走破 (2025)</t>
        </is>
      </c>
      <c r="I386" s="8" t="inlineStr">
        <is>
          <t>試合中1回だけ使える強力なアビリティ。使用済みフラグで実装でき、回数制限の分だけポイントを安くできる。</t>
        </is>
      </c>
      <c r="J386" s="11" t="inlineStr">
        <is>
          <t>高</t>
        </is>
      </c>
      <c r="K386" s="8" t="inlineStr">
        <is>
          <t>なし</t>
        </is>
      </c>
      <c r="L386" s="12" t="inlineStr">
        <is>
          <t>×</t>
        </is>
      </c>
      <c r="M386" s="13" t="inlineStr">
        <is>
          <t>起動型能力が無い。1回きりは使い切りカードで表現済み</t>
        </is>
      </c>
    </row>
    <row r="387" ht="29" customHeight="1">
      <c r="A387" s="7" t="n">
        <v>386</v>
      </c>
      <c r="B387" s="8" t="inlineStr">
        <is>
          <t>キーワード能力</t>
        </is>
      </c>
      <c r="C387" s="8" t="inlineStr">
        <is>
          <t>条件ボーナス</t>
        </is>
      </c>
      <c r="D387" s="9" t="inlineStr">
        <is>
          <t>最高速度</t>
        </is>
      </c>
      <c r="E387" s="10" t="inlineStr">
        <is>
          <t>Max speed</t>
        </is>
      </c>
      <c r="F387" s="7" t="inlineStr">
        <is>
          <t>702.178</t>
        </is>
      </c>
      <c r="G387" s="8" t="inlineStr">
        <is>
          <t>自分の速度が4に達している間だけ、記された能力を持つ。</t>
        </is>
      </c>
      <c r="H387" s="8" t="inlineStr">
        <is>
          <t>霊気走破 (2025)</t>
        </is>
      </c>
      <c r="I387" s="8" t="inlineStr">
        <is>
          <t>プレイヤーの速度ゲージが最大のときだけ解放される能力。ゲージ表示のUIが必要。</t>
        </is>
      </c>
      <c r="J387" s="11" t="inlineStr">
        <is>
          <t>中</t>
        </is>
      </c>
      <c r="K387" s="8" t="inlineStr">
        <is>
          <t>速度ゲージ</t>
        </is>
      </c>
      <c r="L387" s="12" t="inlineStr">
        <is>
          <t>◎</t>
        </is>
      </c>
      <c r="M387" s="13" t="inlineStr">
        <is>
          <t>【今回実装：速度ゲージの条件『速度が最大』（`maxSpeed`・バッチC2）】（審査時は○）条件『速度が最大』。速度ゲージ（387）とセット</t>
        </is>
      </c>
    </row>
    <row r="388" ht="33" customHeight="1">
      <c r="A388" s="7" t="n">
        <v>387</v>
      </c>
      <c r="B388" s="8" t="inlineStr">
        <is>
          <t>キーワード能力</t>
        </is>
      </c>
      <c r="C388" s="8" t="inlineStr">
        <is>
          <t>成長・カウンター</t>
        </is>
      </c>
      <c r="D388" s="9" t="inlineStr">
        <is>
          <t>エンジン始動！</t>
        </is>
      </c>
      <c r="E388" s="10" t="inlineStr">
        <is>
          <t>Start your engines!</t>
        </is>
      </c>
      <c r="F388" s="7" t="inlineStr">
        <is>
          <t>702.179</t>
        </is>
      </c>
      <c r="G388" s="8" t="inlineStr">
        <is>
          <t>速度がなければ速度1を得る。自ターンに対戦相手がライフを失うと1ターン1回速度が上がる（最大4）。</t>
        </is>
      </c>
      <c r="H388" s="8" t="inlineStr">
        <is>
          <t>霊気走破 (2025)</t>
        </is>
      </c>
      <c r="I388" s="8" t="inlineStr">
        <is>
          <t>プレイヤーに永続ゲージを与え、本体ダメージを通すたびに1段階上がる。数ターンかけた成長軸を作れる。</t>
        </is>
      </c>
      <c r="J388" s="11" t="inlineStr">
        <is>
          <t>中</t>
        </is>
      </c>
      <c r="K388" s="8" t="inlineStr">
        <is>
          <t>速度ゲージ</t>
        </is>
      </c>
      <c r="L388" s="12" t="inlineStr">
        <is>
          <t>◎</t>
        </is>
      </c>
      <c r="M388" s="13" t="inlineStr">
        <is>
          <t>【今回実装：速度ゲージの効果『エンジン始動』（`startEngine`・バッチC2）】（審査時は○）プレイヤーの『速度』ゲージ：自ターンに相手にダメージを与えると1上がる（最大4）。新しい資源要</t>
        </is>
      </c>
    </row>
    <row r="389" ht="29" customHeight="1">
      <c r="A389" s="7" t="n">
        <v>388</v>
      </c>
      <c r="B389" s="8" t="inlineStr">
        <is>
          <t>キーワード能力</t>
        </is>
      </c>
      <c r="C389" s="8" t="inlineStr">
        <is>
          <t>墓地利用</t>
        </is>
      </c>
      <c r="D389" s="9" t="inlineStr">
        <is>
          <t>調和</t>
        </is>
      </c>
      <c r="E389" s="10" t="inlineStr">
        <is>
          <t>Harmonize</t>
        </is>
      </c>
      <c r="F389" s="7" t="inlineStr">
        <is>
          <t>702.180</t>
        </is>
      </c>
      <c r="G389" s="8" t="inlineStr">
        <is>
          <t>墓地から唱えられ、自軍クリーチャー1体をタップしてそのパワー分コストを減らせる。その後は追放。</t>
        </is>
      </c>
      <c r="H389" s="8" t="inlineStr">
        <is>
          <t>タルキール：龍嵐録 (2025)</t>
        </is>
      </c>
      <c r="I389" s="8" t="inlineStr">
        <is>
          <t>捨て札から再使用でき、味方ユニットを行動済みにするとその攻撃力分だけ割引される。使用後は廃棄。</t>
        </is>
      </c>
      <c r="J389" s="11" t="inlineStr">
        <is>
          <t>中</t>
        </is>
      </c>
      <c r="K389" s="8" t="inlineStr">
        <is>
          <t>捨て札・ユニット</t>
        </is>
      </c>
      <c r="L389" s="12" t="inlineStr">
        <is>
          <t>△</t>
        </is>
      </c>
      <c r="M389" s="13" t="inlineStr">
        <is>
          <t>捨て札から使う＋タップ割引。再活の仕組みができたら</t>
        </is>
      </c>
    </row>
    <row r="390" ht="33" customHeight="1">
      <c r="A390" s="7" t="n">
        <v>389</v>
      </c>
      <c r="B390" s="8" t="inlineStr">
        <is>
          <t>キーワード能力</t>
        </is>
      </c>
      <c r="C390" s="8" t="inlineStr">
        <is>
          <t>展開・トークン</t>
        </is>
      </c>
      <c r="D390" s="9" t="inlineStr">
        <is>
          <t>応召</t>
        </is>
      </c>
      <c r="E390" s="10" t="inlineStr">
        <is>
          <t>Mobilize</t>
        </is>
      </c>
      <c r="F390" s="7" t="inlineStr">
        <is>
          <t>702.181</t>
        </is>
      </c>
      <c r="G390" s="8" t="inlineStr">
        <is>
          <t>攻撃するたび、タップ状態で攻撃している赤の1/1の戦士トークンをN体出し、終了ステップに生け贄にする。</t>
        </is>
      </c>
      <c r="H390" s="8" t="inlineStr">
        <is>
          <t>タルキール：龍嵐録 (2025)</t>
        </is>
      </c>
      <c r="I390" s="8" t="inlineStr">
        <is>
          <t>攻撃時に一時的な援軍をN体追加し、ターン終了時に消える。手数を増やしたいときの安価な選択肢。</t>
        </is>
      </c>
      <c r="J390" s="11" t="inlineStr">
        <is>
          <t>中</t>
        </is>
      </c>
      <c r="K390" s="8" t="inlineStr">
        <is>
          <t>トークン</t>
        </is>
      </c>
      <c r="L390" s="12" t="inlineStr">
        <is>
          <t>◎</t>
        </is>
      </c>
      <c r="M390" s="13" t="inlineStr">
        <is>
          <t>【今回実装：トークン生成の選択肢『応召』（攻撃するたび＋応召のトークン）（`tokenMobilize`・バッチB）】（審査時は○）攻撃するたび『トークン生成』（1/1をN体、ターン終了時に消える）。一時トークン</t>
        </is>
      </c>
    </row>
    <row r="391" ht="29" customHeight="1">
      <c r="A391" s="7" t="n">
        <v>390</v>
      </c>
      <c r="B391" s="8" t="inlineStr">
        <is>
          <t>キーワード能力</t>
        </is>
      </c>
      <c r="C391" s="8" t="inlineStr">
        <is>
          <t>展開・トークン</t>
        </is>
      </c>
      <c r="D391" s="9" t="inlineStr">
        <is>
          <t>ジョブ選択</t>
        </is>
      </c>
      <c r="E391" s="10" t="inlineStr">
        <is>
          <t>Job select</t>
        </is>
      </c>
      <c r="F391" s="7" t="inlineStr">
        <is>
          <t>702.182</t>
        </is>
      </c>
      <c r="G391" s="8" t="inlineStr">
        <is>
          <t>出た時、1/1の英雄クリーチャー・トークンを生成し、この装備品を付ける。</t>
        </is>
      </c>
      <c r="H391" s="10" t="inlineStr">
        <is>
          <t>FINAL FANTASY (2025)</t>
        </is>
      </c>
      <c r="I391" s="8" t="inlineStr">
        <is>
          <t>装備カードを使うと装着先の小型キャラも自動で出る。装備と本体の2枚分としてポイントを計上する。</t>
        </is>
      </c>
      <c r="J391" s="11" t="inlineStr">
        <is>
          <t>中</t>
        </is>
      </c>
      <c r="K391" s="8" t="inlineStr">
        <is>
          <t>ユニット・装備</t>
        </is>
      </c>
      <c r="L391" s="12" t="inlineStr">
        <is>
          <t>×</t>
        </is>
      </c>
      <c r="M391" s="13" t="inlineStr">
        <is>
          <t>装備前提</t>
        </is>
      </c>
    </row>
    <row r="392" ht="29" customHeight="1">
      <c r="A392" s="7" t="n">
        <v>391</v>
      </c>
      <c r="B392" s="8" t="inlineStr">
        <is>
          <t>キーワード能力</t>
        </is>
      </c>
      <c r="C392" s="8" t="inlineStr">
        <is>
          <t>その他</t>
        </is>
      </c>
      <c r="D392" s="9" t="inlineStr">
        <is>
          <t>段階</t>
        </is>
      </c>
      <c r="E392" s="10" t="inlineStr">
        <is>
          <t>Tiered</t>
        </is>
      </c>
      <c r="F392" s="7" t="inlineStr">
        <is>
          <t>702.183</t>
        </is>
      </c>
      <c r="G392" s="8" t="inlineStr">
        <is>
          <t>モードの中から1つを選び、そのモードに示された追加コストを払って唱える。</t>
        </is>
      </c>
      <c r="H392" s="10" t="inlineStr">
        <is>
          <t>FINAL FANTASY (2025)</t>
        </is>
      </c>
      <c r="I392" s="8" t="inlineStr">
        <is>
          <t>同じ効果の強度を段階で選び、上の段ほど追加エネルギーが必要。スライダーUIで段階を選ばせる。</t>
        </is>
      </c>
      <c r="J392" s="11" t="inlineStr">
        <is>
          <t>高</t>
        </is>
      </c>
      <c r="K392" s="8" t="inlineStr">
        <is>
          <t>エネルギー</t>
        </is>
      </c>
      <c r="L392" s="12" t="inlineStr">
        <is>
          <t>△</t>
        </is>
      </c>
      <c r="M392" s="13" t="inlineStr">
        <is>
          <t>段階選択。『追加払い』として検討</t>
        </is>
      </c>
    </row>
    <row r="393" ht="41.5" customHeight="1">
      <c r="A393" s="7" t="n">
        <v>392</v>
      </c>
      <c r="B393" s="8" t="inlineStr">
        <is>
          <t>キーワード能力</t>
        </is>
      </c>
      <c r="C393" s="8" t="inlineStr">
        <is>
          <t>成長・カウンター</t>
        </is>
      </c>
      <c r="D393" s="9" t="inlineStr">
        <is>
          <t>配備</t>
        </is>
      </c>
      <c r="E393" s="10" t="inlineStr">
        <is>
          <t>Station</t>
        </is>
      </c>
      <c r="F393" s="7" t="inlineStr">
        <is>
          <t>702.184</t>
        </is>
      </c>
      <c r="G393" s="8" t="inlineStr">
        <is>
          <t>他の自軍クリーチャーをタップしてそのパワー分の蓄積カウンターを置き、一定数で能力やP/Tが解放される。</t>
        </is>
      </c>
      <c r="H393" s="8" t="inlineStr">
        <is>
          <t>久遠の終端 (2025)</t>
        </is>
      </c>
      <c r="I393" s="8" t="inlineStr">
        <is>
          <t>味方を行動済みにして宇宙船などにエネルギーを溜め、閾値を超えるごとに能力が段階解放される。</t>
        </is>
      </c>
      <c r="J393" s="11" t="inlineStr">
        <is>
          <t>中</t>
        </is>
      </c>
      <c r="K393" s="8" t="inlineStr">
        <is>
          <t>ユニット</t>
        </is>
      </c>
      <c r="L393" s="12" t="inlineStr">
        <is>
          <t>×</t>
        </is>
      </c>
      <c r="M393" s="13" t="inlineStr">
        <is>
          <t>タップ振り替え前提</t>
        </is>
      </c>
    </row>
    <row r="394" ht="29" customHeight="1">
      <c r="A394" s="7" t="n">
        <v>393</v>
      </c>
      <c r="B394" s="8" t="inlineStr">
        <is>
          <t>キーワード能力</t>
        </is>
      </c>
      <c r="C394" s="8" t="inlineStr">
        <is>
          <t>コスト・リソース</t>
        </is>
      </c>
      <c r="D394" s="9" t="inlineStr">
        <is>
          <t>ワープ</t>
        </is>
      </c>
      <c r="E394" s="10" t="inlineStr">
        <is>
          <t>Warp</t>
        </is>
      </c>
      <c r="F394" s="7" t="inlineStr">
        <is>
          <t>702.185</t>
        </is>
      </c>
      <c r="G394" s="8" t="inlineStr">
        <is>
          <t>手札から代替コストで唱えると終了ステップに追放され、後のターンに追放領域から唱え直せる。</t>
        </is>
      </c>
      <c r="H394" s="8" t="inlineStr">
        <is>
          <t>久遠の終端 (2025)</t>
        </is>
      </c>
      <c r="I394" s="8" t="inlineStr">
        <is>
          <t>割安で出して1ターンだけ使い、ターン終了で保留へ。次ターン以降は通常コストで再使用できる。</t>
        </is>
      </c>
      <c r="J394" s="11" t="inlineStr">
        <is>
          <t>中</t>
        </is>
      </c>
      <c r="K394" s="8" t="inlineStr">
        <is>
          <t>保留ゾーン</t>
        </is>
      </c>
      <c r="L394" s="12" t="inlineStr">
        <is>
          <t>△</t>
        </is>
      </c>
      <c r="M394" s="13" t="inlineStr">
        <is>
          <t>保留ゾーン要</t>
        </is>
      </c>
    </row>
    <row r="395" ht="29" customHeight="1">
      <c r="A395" s="7" t="n">
        <v>394</v>
      </c>
      <c r="B395" s="8" t="inlineStr">
        <is>
          <t>キーワード能力</t>
        </is>
      </c>
      <c r="C395" s="8" t="inlineStr">
        <is>
          <t>条件ボーナス</t>
        </is>
      </c>
      <c r="D395" s="14" t="inlineStr">
        <is>
          <t>∞</t>
        </is>
      </c>
      <c r="E395" s="10" t="inlineStr">
        <is>
          <t>∞ (Infinity)</t>
        </is>
      </c>
      <c r="F395" s="7" t="inlineStr">
        <is>
          <t>702.186</t>
        </is>
      </c>
      <c r="G395" s="8" t="inlineStr">
        <is>
          <t>パーマネントが装着状態になっている間だけ、∞の後に書かれた能力を持つ。</t>
        </is>
      </c>
      <c r="H395" s="8" t="inlineStr">
        <is>
          <t>マーベル スパイダーマン (2025)</t>
        </is>
      </c>
      <c r="I395" s="8" t="inlineStr">
        <is>
          <t>カード1枚を廃棄するなどの条件でアイテムを覚醒させると、追加能力が常時有効になる。覚醒フラグで管理。</t>
        </is>
      </c>
      <c r="J395" s="11" t="inlineStr">
        <is>
          <t>中</t>
        </is>
      </c>
      <c r="K395" s="8" t="inlineStr">
        <is>
          <t>常駐カード枠</t>
        </is>
      </c>
      <c r="L395" s="12" t="inlineStr">
        <is>
          <t>×</t>
        </is>
      </c>
      <c r="M395" s="13" t="inlineStr">
        <is>
          <t>装着・常駐枠前提</t>
        </is>
      </c>
    </row>
    <row r="396" ht="29" customHeight="1">
      <c r="A396" s="7" t="n">
        <v>395</v>
      </c>
      <c r="B396" s="8" t="inlineStr">
        <is>
          <t>キーワード能力</t>
        </is>
      </c>
      <c r="C396" s="8" t="inlineStr">
        <is>
          <t>墓地利用</t>
        </is>
      </c>
      <c r="D396" s="9" t="inlineStr">
        <is>
          <t>大混乱</t>
        </is>
      </c>
      <c r="E396" s="10" t="inlineStr">
        <is>
          <t>Mayhem</t>
        </is>
      </c>
      <c r="F396" s="7" t="inlineStr">
        <is>
          <t>702.187</t>
        </is>
      </c>
      <c r="G396" s="8" t="inlineStr">
        <is>
          <t>このターンに手札から捨てていれば、墓地から大混乱コストで唱えられる。</t>
        </is>
      </c>
      <c r="H396" s="8" t="inlineStr">
        <is>
          <t>マーベル スパイダーマン (2025)</t>
        </is>
      </c>
      <c r="I396" s="8" t="inlineStr">
        <is>
          <t>このターンに捨てたカードを捨て札からすぐ使える。手札を捨てる効果とのシナジーを作れる。</t>
        </is>
      </c>
      <c r="J396" s="11" t="inlineStr">
        <is>
          <t>中</t>
        </is>
      </c>
      <c r="K396" s="8" t="inlineStr">
        <is>
          <t>捨て札・廃棄</t>
        </is>
      </c>
      <c r="L396" s="12" t="inlineStr">
        <is>
          <t>△</t>
        </is>
      </c>
      <c r="M396" s="13" t="inlineStr">
        <is>
          <t>捨て札にしたカードを使う。再活の仕組みで代替</t>
        </is>
      </c>
    </row>
    <row r="397" ht="29" customHeight="1">
      <c r="A397" s="7" t="n">
        <v>396</v>
      </c>
      <c r="B397" s="8" t="inlineStr">
        <is>
          <t>キーワード能力</t>
        </is>
      </c>
      <c r="C397" s="8" t="inlineStr">
        <is>
          <t>コスト・リソース</t>
        </is>
      </c>
      <c r="D397" s="9" t="inlineStr">
        <is>
          <t>ウェブスリング</t>
        </is>
      </c>
      <c r="E397" s="10" t="inlineStr">
        <is>
          <t>Web-slinging</t>
        </is>
      </c>
      <c r="F397" s="7" t="inlineStr">
        <is>
          <t>702.188</t>
        </is>
      </c>
      <c r="G397" s="8" t="inlineStr">
        <is>
          <t>タップ状態の自軍クリーチャーを手札に戻すことで、代替コストで唱えられる。</t>
        </is>
      </c>
      <c r="H397" s="8" t="inlineStr">
        <is>
          <t>マーベル スパイダーマン (2025)</t>
        </is>
      </c>
      <c r="I397" s="8" t="inlineStr">
        <is>
          <t>行動済みの味方を手札に戻して割安に使う。戻したカードの登場時効果を再利用する動きも狙える。</t>
        </is>
      </c>
      <c r="J397" s="11" t="inlineStr">
        <is>
          <t>中</t>
        </is>
      </c>
      <c r="K397" s="8" t="inlineStr">
        <is>
          <t>ユニット</t>
        </is>
      </c>
      <c r="L397" s="12" t="inlineStr">
        <is>
          <t>×</t>
        </is>
      </c>
      <c r="M397" s="13" t="inlineStr">
        <is>
          <t>既存に近い：バウンス。自分のモンスターを戻して割引は重い</t>
        </is>
      </c>
    </row>
    <row r="398" ht="29" customHeight="1">
      <c r="A398" s="7" t="n">
        <v>397</v>
      </c>
      <c r="B398" s="8" t="inlineStr">
        <is>
          <t>キーワード能力</t>
        </is>
      </c>
      <c r="C398" s="8" t="inlineStr">
        <is>
          <t>コスト・リソース</t>
        </is>
      </c>
      <c r="D398" s="9" t="inlineStr">
        <is>
          <t>火の技</t>
        </is>
      </c>
      <c r="E398" s="10" t="inlineStr">
        <is>
          <t>Firebending</t>
        </is>
      </c>
      <c r="F398" s="7" t="inlineStr">
        <is>
          <t>702.189</t>
        </is>
      </c>
      <c r="G398" s="8" t="inlineStr">
        <is>
          <t>攻撃するたび赤マナをN点加える。このマナは戦闘終了時まで失われない。</t>
        </is>
      </c>
      <c r="H398" s="8" t="inlineStr">
        <is>
          <t>アバター 伝説の少年アン (2025)</t>
        </is>
      </c>
      <c r="I398" s="8" t="inlineStr">
        <is>
          <t>攻撃するたびに一時エネルギーNを得て、追撃カードに使える。ターン内限定エネルギーとして管理する。</t>
        </is>
      </c>
      <c r="J398" s="11" t="inlineStr">
        <is>
          <t>高</t>
        </is>
      </c>
      <c r="K398" s="8" t="inlineStr">
        <is>
          <t>エネルギー</t>
        </is>
      </c>
      <c r="L398" s="12" t="inlineStr">
        <is>
          <t>×</t>
        </is>
      </c>
      <c r="M398" s="13" t="inlineStr">
        <is>
          <t>既存：タイミング「攻撃するたび」＋エナジーで作れる</t>
        </is>
      </c>
    </row>
    <row r="399" ht="37.5" customHeight="1">
      <c r="A399" s="7" t="n">
        <v>398</v>
      </c>
      <c r="B399" s="8" t="inlineStr">
        <is>
          <t>キーワード能力</t>
        </is>
      </c>
      <c r="C399" s="8" t="inlineStr">
        <is>
          <t>攻撃</t>
        </is>
      </c>
      <c r="D399" s="9" t="inlineStr">
        <is>
          <t>隠密</t>
        </is>
      </c>
      <c r="E399" s="10" t="inlineStr">
        <is>
          <t>Sneak</t>
        </is>
      </c>
      <c r="F399" s="7" t="inlineStr">
        <is>
          <t>702.190</t>
        </is>
      </c>
      <c r="G399" s="8" t="inlineStr">
        <is>
          <t>ブロックされなかった自軍攻撃クリーチャーを手札に戻して代替コストで唱えられ、タップ状態で攻撃して出る。</t>
        </is>
      </c>
      <c r="H399" s="8" t="inlineStr">
        <is>
          <t>ミュータント タートルズ (2026)</t>
        </is>
      </c>
      <c r="I399" s="8" t="inlineStr">
        <is>
          <t>相手の防御をすり抜けた味方と入れ替えて、別カードを奇襲投入する。ブロック判定後の割り込みタイミングが必要。</t>
        </is>
      </c>
      <c r="J399" s="11" t="inlineStr">
        <is>
          <t>低</t>
        </is>
      </c>
      <c r="K399" s="8" t="inlineStr">
        <is>
          <t>攻撃・ブロック</t>
        </is>
      </c>
      <c r="L399" s="12" t="inlineStr">
        <is>
          <t>×</t>
        </is>
      </c>
      <c r="M399" s="13" t="inlineStr">
        <is>
          <t>ブロック前提</t>
        </is>
      </c>
    </row>
    <row r="400" ht="29" customHeight="1">
      <c r="A400" s="7" t="n">
        <v>399</v>
      </c>
      <c r="B400" s="8" t="inlineStr">
        <is>
          <t>キーワード能力</t>
        </is>
      </c>
      <c r="C400" s="8" t="inlineStr">
        <is>
          <t>成長・カウンター</t>
        </is>
      </c>
      <c r="D400" s="9" t="inlineStr">
        <is>
          <t>増分</t>
        </is>
      </c>
      <c r="E400" s="10" t="inlineStr">
        <is>
          <t>Increment</t>
        </is>
      </c>
      <c r="F400" s="7" t="inlineStr">
        <is>
          <t>702.191</t>
        </is>
      </c>
      <c r="G400" s="8" t="inlineStr">
        <is>
          <t>呪文を唱えるたび、支払ったマナがこれのパワーかタフネスより大きければ+1/+1カウンターを1個置く。</t>
        </is>
      </c>
      <c r="H400" s="8" t="inlineStr">
        <is>
          <t>ストリクスヘイヴンの秘密 (2026)</t>
        </is>
      </c>
      <c r="I400" s="8" t="inlineStr">
        <is>
          <t>自分の数値より高コストのカードを使うたびに永続+1。高コストカード中心のデッキの育成役になる。</t>
        </is>
      </c>
      <c r="J400" s="11" t="inlineStr">
        <is>
          <t>高</t>
        </is>
      </c>
      <c r="K400" s="8" t="inlineStr">
        <is>
          <t>エネルギー</t>
        </is>
      </c>
      <c r="L400" s="12" t="inlineStr">
        <is>
          <t>△</t>
        </is>
      </c>
      <c r="M400" s="13" t="inlineStr">
        <is>
          <t>コストと攻撃力の桁が違う。アレンジ：コスト3以上のカードを使うたび攻撃力+N</t>
        </is>
      </c>
    </row>
    <row r="401" ht="41.5" customHeight="1">
      <c r="A401" s="7" t="n">
        <v>400</v>
      </c>
      <c r="B401" s="8" t="inlineStr">
        <is>
          <t>キーワード能力</t>
        </is>
      </c>
      <c r="C401" s="8" t="inlineStr">
        <is>
          <t>反復・再利用</t>
        </is>
      </c>
      <c r="D401" s="9" t="inlineStr">
        <is>
          <t>範例</t>
        </is>
      </c>
      <c r="E401" s="10" t="inlineStr">
        <is>
          <t>Paradigm</t>
        </is>
      </c>
      <c r="F401" s="7" t="inlineStr">
        <is>
          <t>702.192</t>
        </is>
      </c>
      <c r="G401" s="8" t="inlineStr">
        <is>
          <t>最初に解決された後は追放され、以後の自分の第1メイン・フェイズ開始時にそのコピーを無料で唱えてよい。</t>
        </is>
      </c>
      <c r="H401" s="8" t="inlineStr">
        <is>
          <t>ストリクスヘイヴンの秘密 (2026)</t>
        </is>
      </c>
      <c r="I401" s="8" t="inlineStr">
        <is>
          <t>一度使うと以後毎ターン開始時に無料で自動再使用できるカード。非常に強いので高コスト・高ポイントに限定する。</t>
        </is>
      </c>
      <c r="J401" s="11" t="inlineStr">
        <is>
          <t>中</t>
        </is>
      </c>
      <c r="K401" s="8" t="inlineStr">
        <is>
          <t>ターン開始処理</t>
        </is>
      </c>
      <c r="L401" s="12" t="inlineStr">
        <is>
          <t>×</t>
        </is>
      </c>
      <c r="M401" s="13" t="inlineStr">
        <is>
          <t>既存に近い：パワー（ターン開始時に効果）</t>
        </is>
      </c>
    </row>
    <row r="402" ht="29" customHeight="1">
      <c r="A402" s="7" t="n">
        <v>401</v>
      </c>
      <c r="B402" s="8" t="inlineStr">
        <is>
          <t>キーワード能力</t>
        </is>
      </c>
      <c r="C402" s="8" t="inlineStr">
        <is>
          <t>コスト・リソース</t>
        </is>
      </c>
      <c r="D402" s="9" t="inlineStr">
        <is>
          <t>パワーアップ</t>
        </is>
      </c>
      <c r="E402" s="10" t="inlineStr">
        <is>
          <t>Power-up</t>
        </is>
      </c>
      <c r="F402" s="7" t="inlineStr">
        <is>
          <t>702.193</t>
        </is>
      </c>
      <c r="G402" s="10" t="inlineStr">
        <is>
          <t>1回だけ起動できる能力で、そのターンに戦場に出ていれば起動コストがこれのマナ・コスト分軽くなる。</t>
        </is>
      </c>
      <c r="H402" s="8" t="inlineStr">
        <is>
          <t>マーベル スーパー・ヒーローズ (2026)</t>
        </is>
      </c>
      <c r="I402" s="8" t="inlineStr">
        <is>
          <t>出したターンに使えば割引される1回限りの強化アビリティ。後から使うと割高になり、出すタイミングの判断を生む。</t>
        </is>
      </c>
      <c r="J402" s="11" t="inlineStr">
        <is>
          <t>高</t>
        </is>
      </c>
      <c r="K402" s="8" t="inlineStr">
        <is>
          <t>エネルギー</t>
        </is>
      </c>
      <c r="L402" s="12" t="inlineStr">
        <is>
          <t>×</t>
        </is>
      </c>
      <c r="M402" s="13" t="inlineStr">
        <is>
          <t>起動型能力が無い</t>
        </is>
      </c>
    </row>
    <row r="403" ht="29" customHeight="1">
      <c r="A403" s="7" t="n">
        <v>402</v>
      </c>
      <c r="B403" s="8" t="inlineStr">
        <is>
          <t>キーワード能力</t>
        </is>
      </c>
      <c r="C403" s="8" t="inlineStr">
        <is>
          <t>コスト・リソース</t>
        </is>
      </c>
      <c r="D403" s="9" t="inlineStr">
        <is>
          <t>チームワーク</t>
        </is>
      </c>
      <c r="E403" s="10" t="inlineStr">
        <is>
          <t>Teamwork</t>
        </is>
      </c>
      <c r="F403" s="7" t="inlineStr">
        <is>
          <t>702.194</t>
        </is>
      </c>
      <c r="G403" s="8" t="inlineStr">
        <is>
          <t>唱える際、パワー合計N以上になるよう自軍クリーチャーをタップでき、そうすると効果が強まる。</t>
        </is>
      </c>
      <c r="H403" s="8" t="inlineStr">
        <is>
          <t>マーベル スーパー・ヒーローズ (2026)</t>
        </is>
      </c>
      <c r="I403" s="8" t="inlineStr">
        <is>
          <t>味方ユニットを行動済みにして攻撃力の合計が条件を満たすと強化版になる協力技。</t>
        </is>
      </c>
      <c r="J403" s="11" t="inlineStr">
        <is>
          <t>中</t>
        </is>
      </c>
      <c r="K403" s="8" t="inlineStr">
        <is>
          <t>ユニット</t>
        </is>
      </c>
      <c r="L403" s="12" t="inlineStr">
        <is>
          <t>◎</t>
        </is>
      </c>
      <c r="M403" s="13" t="inlineStr">
        <is>
          <t>【今回実装：条件『自分のモンスターの攻撃力の合計が8以上』（`totalAttack`・バッチA）】（審査時は○）条件『自分のモンスターの攻撃力合計がN以上』。倍率0.7</t>
        </is>
      </c>
    </row>
    <row r="404" ht="41.5" customHeight="1">
      <c r="A404" s="7" t="n">
        <v>403</v>
      </c>
      <c r="B404" s="8" t="inlineStr">
        <is>
          <t>キーワード能力</t>
        </is>
      </c>
      <c r="C404" s="8" t="inlineStr">
        <is>
          <t>条件ボーナス</t>
        </is>
      </c>
      <c r="D404" s="9" t="inlineStr">
        <is>
          <t>物語り</t>
        </is>
      </c>
      <c r="E404" s="10" t="inlineStr">
        <is>
          <t>Storied</t>
        </is>
      </c>
      <c r="F404" s="7" t="inlineStr">
        <is>
          <t>702.195</t>
        </is>
      </c>
      <c r="G404" s="8" t="inlineStr">
        <is>
          <t>物語りを持つパーマネントがある状態で伝説・英雄譚・アーティファクトを計3つ揃えると不朽の物語を永続で得る。</t>
        </is>
      </c>
      <c r="H404" s="8" t="inlineStr">
        <is>
          <t>ホビット (2026)</t>
        </is>
      </c>
      <c r="I404" s="8" t="inlineStr">
        <is>
          <t>特定種類の常駐カードを3枚揃えると試合中永続の称号を得て、関連カードが強化される。収集目標を作れる。</t>
        </is>
      </c>
      <c r="J404" s="11" t="inlineStr">
        <is>
          <t>高</t>
        </is>
      </c>
      <c r="K404" s="8" t="inlineStr">
        <is>
          <t>常駐カード枠</t>
        </is>
      </c>
      <c r="L404" s="12" t="inlineStr">
        <is>
          <t>×</t>
        </is>
      </c>
      <c r="M404" s="13" t="inlineStr">
        <is>
          <t>常駐物の収集目標が無い</t>
        </is>
      </c>
    </row>
    <row r="405" ht="45.5" customHeight="1">
      <c r="A405" s="7" t="n">
        <v>404</v>
      </c>
      <c r="B405" s="8" t="inlineStr">
        <is>
          <t>キーワード能力</t>
        </is>
      </c>
      <c r="C405" s="8" t="inlineStr">
        <is>
          <t>その他</t>
        </is>
      </c>
      <c r="D405" s="9" t="inlineStr">
        <is>
          <t>土地住まい（非公式訳）</t>
        </is>
      </c>
      <c r="E405" s="10" t="inlineStr">
        <is>
          <t>Landhome (Islandhome など)</t>
        </is>
      </c>
      <c r="F405" s="7" t="n"/>
      <c r="G405" s="8" t="inlineStr">
        <is>
          <t>防御側が特定の土地を持たないと攻撃できず、自分がその土地を失うと生け贄になる旧能力。現在は廃止。</t>
        </is>
      </c>
      <c r="H405" s="8" t="inlineStr">
        <is>
          <t>ミラージュ (1996)※能力自体はアルファ (1993)から</t>
        </is>
      </c>
      <c r="I405" s="8" t="inlineStr">
        <is>
          <t>相手が特定属性のカードを持つ時しか攻撃できず、自分がその属性を失うと廃棄されるデメリット。ポイント返還用のマイナス能力として使える。</t>
        </is>
      </c>
      <c r="J405" s="11" t="inlineStr">
        <is>
          <t>高</t>
        </is>
      </c>
      <c r="K405" s="8" t="inlineStr">
        <is>
          <t>カード属性</t>
        </is>
      </c>
      <c r="L405" s="12" t="inlineStr">
        <is>
          <t>×</t>
        </is>
      </c>
      <c r="M405" s="13" t="inlineStr">
        <is>
          <t>土地前提</t>
        </is>
      </c>
    </row>
    <row r="406" ht="45.5" customHeight="1">
      <c r="A406" s="7" t="n">
        <v>405</v>
      </c>
      <c r="B406" s="8" t="inlineStr">
        <is>
          <t>キーワード能力</t>
        </is>
      </c>
      <c r="C406" s="8" t="inlineStr">
        <is>
          <t>ルール基盤</t>
        </is>
      </c>
      <c r="D406" s="9" t="inlineStr">
        <is>
          <t>実体（非公式訳）</t>
        </is>
      </c>
      <c r="E406" s="10" t="inlineStr">
        <is>
          <t>Substance</t>
        </is>
      </c>
      <c r="F406" s="7" t="n"/>
      <c r="G406" s="8" t="inlineStr">
        <is>
          <t>それ自体に効果がなく、ミラージュの一部カードのルール処理を補うためだけに置かれた旧キーワード。2009年に削除。</t>
        </is>
      </c>
      <c r="H406" s="8" t="inlineStr">
        <is>
          <t>ミラージュ (1996)のカードに後付け※ルール追加は2005年</t>
        </is>
      </c>
      <c r="I406" s="8" t="inlineStr">
        <is>
          <t>効果を持たない内部タグで他のルール処理を紐付ける手法の例。ゲームでも、プレイヤーに見えない内部フラグでカード間の処理を管理する設計の参考になる。</t>
        </is>
      </c>
      <c r="J406" s="11" t="inlineStr">
        <is>
          <t>高</t>
        </is>
      </c>
      <c r="K406" s="8" t="inlineStr">
        <is>
          <t>なし</t>
        </is>
      </c>
      <c r="L406" s="12" t="inlineStr">
        <is>
          <t>×</t>
        </is>
      </c>
      <c r="M406" s="13" t="inlineStr">
        <is>
          <t>内部タグの例で効果なし</t>
        </is>
      </c>
    </row>
    <row r="407" ht="45.5" customHeight="1">
      <c r="A407" s="7" t="n">
        <v>406</v>
      </c>
      <c r="B407" s="8" t="inlineStr">
        <is>
          <t>キーワード処理</t>
        </is>
      </c>
      <c r="C407" s="8" t="inlineStr">
        <is>
          <t>ルール基盤</t>
        </is>
      </c>
      <c r="D407" s="9" t="inlineStr">
        <is>
          <t>起動する</t>
        </is>
      </c>
      <c r="E407" s="10" t="inlineStr">
        <is>
          <t>Activate</t>
        </is>
      </c>
      <c r="F407" s="7" t="inlineStr">
        <is>
          <t>701.2</t>
        </is>
      </c>
      <c r="G407" s="8" t="inlineStr">
        <is>
          <t>パーマネントなどが持つ「コスト：効果」型の能力を、コストを払って使うこと。</t>
        </is>
      </c>
      <c r="H407" s="8" t="inlineStr">
        <is>
          <t>アルファ (1993)</t>
        </is>
      </c>
      <c r="I407" s="8" t="inlineStr">
        <is>
          <t>場に残る装備・設置物に「エネルギー1：効果」型の任意発動ボタンを付ける。1ターンの回数制限を付ければポイント評価しやすい。</t>
        </is>
      </c>
      <c r="J407" s="11" t="inlineStr">
        <is>
          <t>中</t>
        </is>
      </c>
      <c r="K407" s="8" t="inlineStr">
        <is>
          <t>場に残るカード</t>
        </is>
      </c>
      <c r="L407" s="12" t="inlineStr">
        <is>
          <t>◎</t>
        </is>
      </c>
      <c r="M407" s="13" t="inlineStr">
        <is>
          <t>【今回実装：起動型能力（行動 activate）（`activated`・バッチC1）】（審査時は○）起動型能力：場のモンスター/パワーに『エナジー1：効果』（ターン1回）。UIとCPUに選択追加が要る</t>
        </is>
      </c>
    </row>
    <row r="408" ht="37.5" customHeight="1">
      <c r="A408" s="7" t="n">
        <v>407</v>
      </c>
      <c r="B408" s="8" t="inlineStr">
        <is>
          <t>キーワード処理</t>
        </is>
      </c>
      <c r="C408" s="8" t="inlineStr">
        <is>
          <t>強化</t>
        </is>
      </c>
      <c r="D408" s="9" t="inlineStr">
        <is>
          <t>つける／はずす</t>
        </is>
      </c>
      <c r="E408" s="10" t="inlineStr">
        <is>
          <t>Attach / Unattach</t>
        </is>
      </c>
      <c r="F408" s="7" t="inlineStr">
        <is>
          <t>701.3</t>
        </is>
      </c>
      <c r="G408" s="8" t="inlineStr">
        <is>
          <t>オーラや装備品を特定のパーマネントに結びつける、またはその結びつきを外すこと。</t>
        </is>
      </c>
      <c r="H408" s="8" t="inlineStr">
        <is>
          <t>ミラディン (2003)</t>
        </is>
      </c>
      <c r="I408" s="8" t="inlineStr">
        <is>
          <t>ユニットやスロットに装備カードを付け替える仕組み。付け替えコストをポイントで調整し、装備先が倒れても装備は場に残す等の差別化ができる。</t>
        </is>
      </c>
      <c r="J408" s="11" t="inlineStr">
        <is>
          <t>中</t>
        </is>
      </c>
      <c r="K408" s="8" t="inlineStr">
        <is>
          <t>ユニット/スロット</t>
        </is>
      </c>
      <c r="L408" s="12" t="inlineStr">
        <is>
          <t>×</t>
        </is>
      </c>
      <c r="M408" s="13" t="inlineStr">
        <is>
          <t>装備・オーラの仕組みが無い</t>
        </is>
      </c>
    </row>
    <row r="409" ht="29" customHeight="1">
      <c r="A409" s="7" t="n">
        <v>408</v>
      </c>
      <c r="B409" s="8" t="inlineStr">
        <is>
          <t>キーワード処理</t>
        </is>
      </c>
      <c r="C409" s="8" t="inlineStr">
        <is>
          <t>条件ボーナス</t>
        </is>
      </c>
      <c r="D409" s="9" t="inlineStr">
        <is>
          <t>後見を受ける</t>
        </is>
      </c>
      <c r="E409" s="10" t="inlineStr">
        <is>
          <t>Behold</t>
        </is>
      </c>
      <c r="F409" s="7" t="inlineStr">
        <is>
          <t>701.4</t>
        </is>
      </c>
      <c r="G409" s="8" t="inlineStr">
        <is>
          <t>指定された性質のカードを手札から公開するか、場の該当パーマネントを選ぶことで条件を満たす。</t>
        </is>
      </c>
      <c r="H409" s="8" t="inlineStr">
        <is>
          <t>タルキール：龍嵐録 (2025)</t>
        </is>
      </c>
      <c r="I409" s="8" t="inlineStr">
        <is>
          <t>手札に指定属性のカードがあれば公開して追加効果。公開で相手に情報が渡る分、ポイントを安くする設計が可能。</t>
        </is>
      </c>
      <c r="J409" s="11" t="inlineStr">
        <is>
          <t>高</t>
        </is>
      </c>
      <c r="K409" s="8" t="inlineStr">
        <is>
          <t>カード属性</t>
        </is>
      </c>
      <c r="L409" s="12" t="inlineStr">
        <is>
          <t>◎</t>
        </is>
      </c>
      <c r="M409" s="13" t="inlineStr">
        <is>
          <t>【今回実装：手札にモンスターカードがある】今回実装 条件『手札にモンスターカードがある』monsterInHand</t>
        </is>
      </c>
    </row>
    <row r="410" ht="25" customHeight="1">
      <c r="A410" s="7" t="n">
        <v>409</v>
      </c>
      <c r="B410" s="8" t="inlineStr">
        <is>
          <t>キーワード処理</t>
        </is>
      </c>
      <c r="C410" s="8" t="inlineStr">
        <is>
          <t>ルール基盤</t>
        </is>
      </c>
      <c r="D410" s="9" t="inlineStr">
        <is>
          <t>唱える</t>
        </is>
      </c>
      <c r="E410" s="10" t="inlineStr">
        <is>
          <t>Cast</t>
        </is>
      </c>
      <c r="F410" s="7" t="inlineStr">
        <is>
          <t>701.5</t>
        </is>
      </c>
      <c r="G410" s="8" t="inlineStr">
        <is>
          <t>呪文をコストを払って手札などからスタックに置き、使用すること。</t>
        </is>
      </c>
      <c r="H410" s="8" t="inlineStr">
        <is>
          <t>アルファ (1993)</t>
        </is>
      </c>
      <c r="I410" s="8" t="inlineStr">
        <is>
          <t>カードを使う基本動作。使用元ゾーンをイベントに記録しておけば、使用時トリガーや手札以外から使う効果の土台になる。</t>
        </is>
      </c>
      <c r="J410" s="11" t="inlineStr">
        <is>
          <t>高</t>
        </is>
      </c>
      <c r="K410" s="8" t="inlineStr">
        <is>
          <t>なし</t>
        </is>
      </c>
      <c r="L410" s="12" t="inlineStr">
        <is>
          <t>×</t>
        </is>
      </c>
      <c r="M410" s="13" t="inlineStr">
        <is>
          <t>ルール基盤（既存：カードを使う）</t>
        </is>
      </c>
    </row>
    <row r="411" ht="41.5" customHeight="1">
      <c r="A411" s="7" t="n">
        <v>410</v>
      </c>
      <c r="B411" s="8" t="inlineStr">
        <is>
          <t>キーワード処理</t>
        </is>
      </c>
      <c r="C411" s="8" t="inlineStr">
        <is>
          <t>妨害</t>
        </is>
      </c>
      <c r="D411" s="9" t="inlineStr">
        <is>
          <t>打ち消す</t>
        </is>
      </c>
      <c r="E411" s="10" t="inlineStr">
        <is>
          <t>Counter</t>
        </is>
      </c>
      <c r="F411" s="7" t="inlineStr">
        <is>
          <t>701.6</t>
        </is>
      </c>
      <c r="G411" s="8" t="inlineStr">
        <is>
          <t>スタック上の呪文や能力を、解決させずに取り除いて無効にすること。</t>
        </is>
      </c>
      <c r="H411" s="8" t="inlineStr">
        <is>
          <t>アルファ (1993)</t>
        </is>
      </c>
      <c r="I411" s="8" t="inlineStr">
        <is>
          <t>リアルタイム割り込みは重いので、「相手が次に使うスキルを無効化」する予約型の罠として実装すればターン制PvPでも成立する。</t>
        </is>
      </c>
      <c r="J411" s="11" t="inlineStr">
        <is>
          <t>中</t>
        </is>
      </c>
      <c r="K411" s="8" t="inlineStr">
        <is>
          <t>割り込みか予約効果</t>
        </is>
      </c>
      <c r="L411" s="12" t="inlineStr">
        <is>
          <t>◎</t>
        </is>
      </c>
      <c r="M411" s="13" t="inlineStr">
        <is>
          <t>【今回実装：効果『封殺』（予約型の打ち消し）（`quash`・バッチB）】（審査時は○）効果『封殺』：相手が次に使うカード1枚を無効化（予約型）。割り込み不要。高め約30pt、レア以上</t>
        </is>
      </c>
    </row>
    <row r="412" ht="45.5" customHeight="1">
      <c r="A412" s="7" t="n">
        <v>411</v>
      </c>
      <c r="B412" s="8" t="inlineStr">
        <is>
          <t>キーワード処理</t>
        </is>
      </c>
      <c r="C412" s="8" t="inlineStr">
        <is>
          <t>展開・トークン</t>
        </is>
      </c>
      <c r="D412" s="9" t="inlineStr">
        <is>
          <t>生成する</t>
        </is>
      </c>
      <c r="E412" s="10" t="inlineStr">
        <is>
          <t>Create</t>
        </is>
      </c>
      <c r="F412" s="7" t="inlineStr">
        <is>
          <t>701.7</t>
        </is>
      </c>
      <c r="G412" s="8" t="inlineStr">
        <is>
          <t>カードではない物体（トークン）を新たに戦場に出すこと。</t>
        </is>
      </c>
      <c r="H412" s="8" t="inlineStr">
        <is>
          <t>カラデシュ (2016)／効果自体はアルファから</t>
        </is>
      </c>
      <c r="I412" s="8" t="inlineStr">
        <is>
          <t>戦闘中だけ存在するミニオンや一時カードを生む。StSの「ナイフを手札に加える」型も同じ枠で扱え、生成数×性能でポイント計算できる。</t>
        </is>
      </c>
      <c r="J412" s="11" t="inlineStr">
        <is>
          <t>高</t>
        </is>
      </c>
      <c r="K412" s="8" t="inlineStr">
        <is>
          <t>トークン定義</t>
        </is>
      </c>
      <c r="L412" s="12" t="inlineStr">
        <is>
          <t>◎</t>
        </is>
      </c>
      <c r="M412" s="13" t="inlineStr">
        <is>
          <t>【今回実装：トークン生成】今回実装 効果『トークン生成』token に統合（#604）</t>
        </is>
      </c>
    </row>
    <row r="413" ht="25" customHeight="1">
      <c r="A413" s="7" t="n">
        <v>412</v>
      </c>
      <c r="B413" s="8" t="inlineStr">
        <is>
          <t>キーワード処理</t>
        </is>
      </c>
      <c r="C413" s="8" t="inlineStr">
        <is>
          <t>除去</t>
        </is>
      </c>
      <c r="D413" s="9" t="inlineStr">
        <is>
          <t>破壊する</t>
        </is>
      </c>
      <c r="E413" s="10" t="inlineStr">
        <is>
          <t>Destroy</t>
        </is>
      </c>
      <c r="F413" s="7" t="inlineStr">
        <is>
          <t>701.8</t>
        </is>
      </c>
      <c r="G413" s="8" t="inlineStr">
        <is>
          <t>パーマネントを戦場からオーナーの墓地に置くこと。再生や破壊不能で防がれる。</t>
        </is>
      </c>
      <c r="H413" s="8" t="inlineStr">
        <is>
          <t>アルファ (1993)</t>
        </is>
      </c>
      <c r="I413" s="8" t="inlineStr">
        <is>
          <t>相手の設置物や持続効果カードを消す除去。「破壊されない」耐性と対にして除去手段を分けると相性の読み合いが生まれる。</t>
        </is>
      </c>
      <c r="J413" s="11" t="inlineStr">
        <is>
          <t>高</t>
        </is>
      </c>
      <c r="K413" s="8" t="inlineStr">
        <is>
          <t>場に残るカード</t>
        </is>
      </c>
      <c r="L413" s="12" t="inlineStr">
        <is>
          <t>×</t>
        </is>
      </c>
      <c r="M413" s="13" t="inlineStr">
        <is>
          <t>既存：処刑・全体破壊・解除で足りる（破壊不能が無い）</t>
        </is>
      </c>
    </row>
    <row r="414" ht="29" customHeight="1">
      <c r="A414" s="7" t="n">
        <v>413</v>
      </c>
      <c r="B414" s="8" t="inlineStr">
        <is>
          <t>キーワード処理</t>
        </is>
      </c>
      <c r="C414" s="8" t="inlineStr">
        <is>
          <t>ドロー・手札</t>
        </is>
      </c>
      <c r="D414" s="9" t="inlineStr">
        <is>
          <t>捨てる</t>
        </is>
      </c>
      <c r="E414" s="10" t="inlineStr">
        <is>
          <t>Discard</t>
        </is>
      </c>
      <c r="F414" s="7" t="inlineStr">
        <is>
          <t>701.9</t>
        </is>
      </c>
      <c r="G414" s="8" t="inlineStr">
        <is>
          <t>手札のカードを墓地に置くこと。自分で選ぶか無作為かはカードによる。</t>
        </is>
      </c>
      <c r="H414" s="8" t="inlineStr">
        <is>
          <t>アルファ (1993)</t>
        </is>
      </c>
      <c r="I414" s="10" t="inlineStr">
        <is>
          <t>StSの捨て札と同じ。相手の手札を捨てさせる妨害はPvPで強いので、無作為か公開後に選ぶかでポイント差をつける。</t>
        </is>
      </c>
      <c r="J414" s="11" t="inlineStr">
        <is>
          <t>高</t>
        </is>
      </c>
      <c r="K414" s="8" t="inlineStr">
        <is>
          <t>手札・捨て札</t>
        </is>
      </c>
      <c r="L414" s="12" t="inlineStr">
        <is>
          <t>×</t>
        </is>
      </c>
      <c r="M414" s="13" t="inlineStr">
        <is>
          <t>既存：ドロー妨害・手札喪失（手札は毎ターン捨てる方式）</t>
        </is>
      </c>
    </row>
    <row r="415" ht="45.5" customHeight="1">
      <c r="A415" s="7" t="n">
        <v>414</v>
      </c>
      <c r="B415" s="8" t="inlineStr">
        <is>
          <t>キーワード処理</t>
        </is>
      </c>
      <c r="C415" s="8" t="inlineStr">
        <is>
          <t>強化</t>
        </is>
      </c>
      <c r="D415" s="9" t="inlineStr">
        <is>
          <t>倍にする</t>
        </is>
      </c>
      <c r="E415" s="10" t="inlineStr">
        <is>
          <t>Double</t>
        </is>
      </c>
      <c r="F415" s="7" t="inlineStr">
        <is>
          <t>701.10</t>
        </is>
      </c>
      <c r="G415" s="8" t="inlineStr">
        <is>
          <t>パワーやカウンター数、ライフ、マナなどの値を、現在値と同じだけ増やして2倍にすること。</t>
        </is>
      </c>
      <c r="H415" s="8" t="inlineStr">
        <is>
          <t>ドミナリア (2018)／概念はフィフス・ドーン (2004)</t>
        </is>
      </c>
      <c r="I415" s="8" t="inlineStr">
        <is>
          <t>「筋力を2倍」「ブロック値を2倍」系。指数的に伸びるので、上限値かターン1回制限をポイント上の必須条件にすると安定する。</t>
        </is>
      </c>
      <c r="J415" s="11" t="inlineStr">
        <is>
          <t>高</t>
        </is>
      </c>
      <c r="K415" s="8" t="inlineStr">
        <is>
          <t>数値ステータス</t>
        </is>
      </c>
      <c r="L415" s="12" t="inlineStr">
        <is>
          <t>◎</t>
        </is>
      </c>
      <c r="M415" s="13" t="inlineStr">
        <is>
          <t>【今回実装：倍化】今回実装 効果『倍化』double：相手の毒・出血か自分の筋力を2倍（増える量に上限、レア以上）</t>
        </is>
      </c>
    </row>
    <row r="416" ht="29" customHeight="1">
      <c r="A416" s="7" t="n">
        <v>415</v>
      </c>
      <c r="B416" s="8" t="inlineStr">
        <is>
          <t>キーワード処理</t>
        </is>
      </c>
      <c r="C416" s="8" t="inlineStr">
        <is>
          <t>強化</t>
        </is>
      </c>
      <c r="D416" s="14" t="inlineStr">
        <is>
          <t>3倍にする</t>
        </is>
      </c>
      <c r="E416" s="10" t="inlineStr">
        <is>
          <t>Triple</t>
        </is>
      </c>
      <c r="F416" s="7" t="inlineStr">
        <is>
          <t>701.11</t>
        </is>
      </c>
      <c r="G416" s="8" t="inlineStr">
        <is>
          <t>値を3倍にすること。倍にするの上位版としてルールに定義された。</t>
        </is>
      </c>
      <c r="H416" s="10" t="inlineStr">
        <is>
          <t>FINAL FANTASY (2025)</t>
        </is>
      </c>
      <c r="I416" s="8" t="inlineStr">
        <is>
          <t>高レア限定の大技として「次の攻撃ダメージを3倍」。呪いカードの追加や重いエネルギーコストと抱き合わせにする。</t>
        </is>
      </c>
      <c r="J416" s="11" t="inlineStr">
        <is>
          <t>高</t>
        </is>
      </c>
      <c r="K416" s="8" t="inlineStr">
        <is>
          <t>数値ステータス</t>
        </is>
      </c>
      <c r="L416" s="12" t="inlineStr">
        <is>
          <t>△</t>
        </is>
      </c>
      <c r="M416" s="13" t="inlineStr">
        <is>
          <t>3倍はレジェンド限定の『倍化』上位版として統合</t>
        </is>
      </c>
    </row>
    <row r="417" ht="41.5" customHeight="1">
      <c r="A417" s="7" t="n">
        <v>416</v>
      </c>
      <c r="B417" s="8" t="inlineStr">
        <is>
          <t>キーワード処理</t>
        </is>
      </c>
      <c r="C417" s="8" t="inlineStr">
        <is>
          <t>妨害</t>
        </is>
      </c>
      <c r="D417" s="9" t="inlineStr">
        <is>
          <t>交換する</t>
        </is>
      </c>
      <c r="E417" s="10" t="inlineStr">
        <is>
          <t>Exchange</t>
        </is>
      </c>
      <c r="F417" s="7" t="inlineStr">
        <is>
          <t>701.12</t>
        </is>
      </c>
      <c r="G417" s="10" t="inlineStr">
        <is>
          <t>2つのものの間で、コントロールやライフ、ゾーンなどを入れ替えること。片方が欠けると行われない場合がある。</t>
        </is>
      </c>
      <c r="H417" s="8" t="inlineStr">
        <is>
          <t>アルファ (1993)／用語化は第6版 (1999)</t>
        </is>
      </c>
      <c r="I417" s="8" t="inlineStr">
        <is>
          <t>「自分と相手のHPを入れ替える」「手札1枚を相手の1枚と交換」など逆転要素。デジタルなら相手の山札とのカード交換も容易。</t>
        </is>
      </c>
      <c r="J417" s="11" t="inlineStr">
        <is>
          <t>中</t>
        </is>
      </c>
      <c r="K417" s="8" t="inlineStr">
        <is>
          <t>なし</t>
        </is>
      </c>
      <c r="L417" s="12" t="inlineStr">
        <is>
          <t>△</t>
        </is>
      </c>
      <c r="M417" s="13" t="inlineStr">
        <is>
          <t>『HPを入れ替える』はレジェンド限定の逆転手。乱用防止が要る</t>
        </is>
      </c>
    </row>
    <row r="418" ht="29" customHeight="1">
      <c r="A418" s="7" t="n">
        <v>417</v>
      </c>
      <c r="B418" s="8" t="inlineStr">
        <is>
          <t>キーワード処理</t>
        </is>
      </c>
      <c r="C418" s="8" t="inlineStr">
        <is>
          <t>除去</t>
        </is>
      </c>
      <c r="D418" s="9" t="inlineStr">
        <is>
          <t>追放する</t>
        </is>
      </c>
      <c r="E418" s="10" t="inlineStr">
        <is>
          <t>Exile</t>
        </is>
      </c>
      <c r="F418" s="7" t="inlineStr">
        <is>
          <t>701.13</t>
        </is>
      </c>
      <c r="G418" s="8" t="inlineStr">
        <is>
          <t>カードを追放領域に移すこと。基本的に戻らず、破壊への耐性も関係ない。</t>
        </is>
      </c>
      <c r="H418" s="8" t="inlineStr">
        <is>
          <t>基本セット2010 (2009)／効果自体はアルファから</t>
        </is>
      </c>
      <c r="I418" s="10" t="inlineStr">
        <is>
          <t>StSの廃棄に相当。相手カードを戦闘中ずっと使えなくする除去や、自分の弱いカードを消すデッキ圧縮として価格設定する。</t>
        </is>
      </c>
      <c r="J418" s="11" t="inlineStr">
        <is>
          <t>高</t>
        </is>
      </c>
      <c r="K418" s="8" t="inlineStr">
        <is>
          <t>廃棄ゾーン</t>
        </is>
      </c>
      <c r="L418" s="12" t="inlineStr">
        <is>
          <t>◎</t>
        </is>
      </c>
      <c r="M418" s="13" t="inlineStr">
        <is>
          <t>【今回実装：処分】今回実装 効果『処分』purge：手札か捨て札のカード1枚を選んで除外（ノイズ対策）</t>
        </is>
      </c>
    </row>
    <row r="419" ht="29" customHeight="1">
      <c r="A419" s="7" t="n">
        <v>418</v>
      </c>
      <c r="B419" s="8" t="inlineStr">
        <is>
          <t>キーワード処理</t>
        </is>
      </c>
      <c r="C419" s="8" t="inlineStr">
        <is>
          <t>除去</t>
        </is>
      </c>
      <c r="D419" s="9" t="inlineStr">
        <is>
          <t>格闘を行う</t>
        </is>
      </c>
      <c r="E419" s="10" t="inlineStr">
        <is>
          <t>Fight</t>
        </is>
      </c>
      <c r="F419" s="7" t="inlineStr">
        <is>
          <t>701.14</t>
        </is>
      </c>
      <c r="G419" s="10" t="inlineStr">
        <is>
          <t>2体のクリーチャーが、互いに自分のパワーに等しいダメージを与え合うこと。</t>
        </is>
      </c>
      <c r="H419" s="8" t="inlineStr">
        <is>
          <t>イニストラード (2011)</t>
        </is>
      </c>
      <c r="I419" s="8" t="inlineStr">
        <is>
          <t>自分のミニオンと敵ユニットを殴り合わせる除去。攻撃・ブロックの構造がなくても、攻撃力同士をぶつけるだけで実装できる。</t>
        </is>
      </c>
      <c r="J419" s="11" t="inlineStr">
        <is>
          <t>高</t>
        </is>
      </c>
      <c r="K419" s="8" t="inlineStr">
        <is>
          <t>ユニット攻撃力</t>
        </is>
      </c>
      <c r="L419" s="12" t="inlineStr">
        <is>
          <t>◎</t>
        </is>
      </c>
      <c r="M419" s="13" t="inlineStr">
        <is>
          <t>【今回実装：格闘】今回実装 効果『格闘』fight：自分と相手のモンスター1体ずつが攻撃力ぶんダメージを与え合う</t>
        </is>
      </c>
    </row>
    <row r="420" ht="29" customHeight="1">
      <c r="A420" s="7" t="n">
        <v>419</v>
      </c>
      <c r="B420" s="8" t="inlineStr">
        <is>
          <t>キーワード処理</t>
        </is>
      </c>
      <c r="C420" s="8" t="inlineStr">
        <is>
          <t>多人数・交流</t>
        </is>
      </c>
      <c r="D420" s="9" t="inlineStr">
        <is>
          <t>使嗾する</t>
        </is>
      </c>
      <c r="E420" s="10" t="inlineStr">
        <is>
          <t>Goad</t>
        </is>
      </c>
      <c r="F420" s="7" t="inlineStr">
        <is>
          <t>701.15</t>
        </is>
      </c>
      <c r="G420" s="8" t="inlineStr">
        <is>
          <t>クリーチャーに、次のあなたのターンまで毎戦闘攻撃し、可能ならあなた以外を攻撃するよう強制する。</t>
        </is>
      </c>
      <c r="H420" s="8" t="inlineStr">
        <is>
          <t>統率者2016 (2016)</t>
        </is>
      </c>
      <c r="I420" s="8" t="inlineStr">
        <is>
          <t>多人数戦で「次のターンこの敵は自分以外を狙う」挑発。CPU戦では敵の行動予告を書き換える効果として表現できる。</t>
        </is>
      </c>
      <c r="J420" s="11" t="inlineStr">
        <is>
          <t>中</t>
        </is>
      </c>
      <c r="K420" s="8" t="inlineStr">
        <is>
          <t>敵の行動予告</t>
        </is>
      </c>
      <c r="L420" s="12" t="inlineStr">
        <is>
          <t>×</t>
        </is>
      </c>
      <c r="M420" s="13" t="inlineStr">
        <is>
          <t>多人数前提（既存：混乱が近い）</t>
        </is>
      </c>
    </row>
    <row r="421" ht="29" customHeight="1">
      <c r="A421" s="7" t="n">
        <v>420</v>
      </c>
      <c r="B421" s="8" t="inlineStr">
        <is>
          <t>キーワード処理</t>
        </is>
      </c>
      <c r="C421" s="8" t="inlineStr">
        <is>
          <t>ドロー・手札</t>
        </is>
      </c>
      <c r="D421" s="9" t="inlineStr">
        <is>
          <t>調査を行う</t>
        </is>
      </c>
      <c r="E421" s="10" t="inlineStr">
        <is>
          <t>Investigate</t>
        </is>
      </c>
      <c r="F421" s="7" t="inlineStr">
        <is>
          <t>701.16</t>
        </is>
      </c>
      <c r="G421" s="8" t="inlineStr">
        <is>
          <t>手掛かりトークンを生成する。後でマナを払って生け贄にすると1枚引ける。</t>
        </is>
      </c>
      <c r="H421" s="8" t="inlineStr">
        <is>
          <t>イニストラードを覆う影 (2016)</t>
        </is>
      </c>
      <c r="I421" s="8" t="inlineStr">
        <is>
          <t>「手掛かり」を貯めて後でエネルギー2で1ドロー。すぐ引けない遅延資源なので、即ドローより安いポイントで提供できる。</t>
        </is>
      </c>
      <c r="J421" s="11" t="inlineStr">
        <is>
          <t>中</t>
        </is>
      </c>
      <c r="K421" s="8" t="inlineStr">
        <is>
          <t>トークン・資源</t>
        </is>
      </c>
      <c r="L421" s="12" t="inlineStr">
        <is>
          <t>◎</t>
        </is>
      </c>
      <c r="M421" s="13" t="inlineStr">
        <is>
          <t>【今回実装：効果『準備』（`prepare`・バッチB）】（審査時は○）次回：効果『準備』（次のターンに引く枚数+N。1枚約3pt）</t>
        </is>
      </c>
    </row>
    <row r="422" ht="45.5" customHeight="1">
      <c r="A422" s="7" t="n">
        <v>421</v>
      </c>
      <c r="B422" s="8" t="inlineStr">
        <is>
          <t>キーワード処理</t>
        </is>
      </c>
      <c r="C422" s="8" t="inlineStr">
        <is>
          <t>山札操作</t>
        </is>
      </c>
      <c r="D422" s="9" t="inlineStr">
        <is>
          <t>切削する</t>
        </is>
      </c>
      <c r="E422" s="10" t="inlineStr">
        <is>
          <t>Mill</t>
        </is>
      </c>
      <c r="F422" s="7" t="inlineStr">
        <is>
          <t>701.17</t>
        </is>
      </c>
      <c r="G422" s="8" t="inlineStr">
        <is>
          <t>ライブラリーの上から指定枚数のカードを墓地に置くこと。</t>
        </is>
      </c>
      <c r="H422" s="8" t="inlineStr">
        <is>
          <t>基本セット2021 (2020)／効果はアンティキティー (1994)</t>
        </is>
      </c>
      <c r="I422" s="8" t="inlineStr">
        <is>
          <t>相手の山札上を捨て札へ送り山札切れを狙う勝ち筋。または自分の捨て札を増やし、捨て札から使うカードと組ませる。</t>
        </is>
      </c>
      <c r="J422" s="11" t="inlineStr">
        <is>
          <t>高</t>
        </is>
      </c>
      <c r="K422" s="8" t="inlineStr">
        <is>
          <t>山札・捨て札</t>
        </is>
      </c>
      <c r="L422" s="12" t="inlineStr">
        <is>
          <t>◎</t>
        </is>
      </c>
      <c r="M422" s="13" t="inlineStr">
        <is>
          <t>【今回実装：効果『切削』（`mill`・バッチB）】（審査時は○）次回：効果『切削』（自分の山札の上N枚を捨て札へ。捨て札条件の燃料）</t>
        </is>
      </c>
    </row>
    <row r="423" ht="37.5" customHeight="1">
      <c r="A423" s="7" t="n">
        <v>422</v>
      </c>
      <c r="B423" s="8" t="inlineStr">
        <is>
          <t>キーワード処理</t>
        </is>
      </c>
      <c r="C423" s="8" t="inlineStr">
        <is>
          <t>ルール基盤</t>
        </is>
      </c>
      <c r="D423" s="9" t="inlineStr">
        <is>
          <t>プレイする</t>
        </is>
      </c>
      <c r="E423" s="10" t="inlineStr">
        <is>
          <t>Play</t>
        </is>
      </c>
      <c r="F423" s="7" t="inlineStr">
        <is>
          <t>701.18</t>
        </is>
      </c>
      <c r="G423" s="8" t="inlineStr">
        <is>
          <t>土地を戦場に出すこと、または呪文を唱えることの総称。</t>
        </is>
      </c>
      <c r="H423" s="8" t="inlineStr">
        <is>
          <t>アルファ (1993)</t>
        </is>
      </c>
      <c r="I423" s="8" t="inlineStr">
        <is>
          <t>カード使用全般の総称として「プレイ時」トリガーを定義する。エネルギー源カードを作るなら通常使用と区別するフラグを持たせる。</t>
        </is>
      </c>
      <c r="J423" s="11" t="inlineStr">
        <is>
          <t>高</t>
        </is>
      </c>
      <c r="K423" s="8" t="inlineStr">
        <is>
          <t>なし</t>
        </is>
      </c>
      <c r="L423" s="12" t="inlineStr">
        <is>
          <t>×</t>
        </is>
      </c>
      <c r="M423" s="13" t="inlineStr">
        <is>
          <t>既存：タイミング『カードを使うたび』</t>
        </is>
      </c>
    </row>
    <row r="424" ht="45.5" customHeight="1">
      <c r="A424" s="7" t="n">
        <v>423</v>
      </c>
      <c r="B424" s="8" t="inlineStr">
        <is>
          <t>キーワード処理</t>
        </is>
      </c>
      <c r="C424" s="8" t="inlineStr">
        <is>
          <t>防御</t>
        </is>
      </c>
      <c r="D424" s="9" t="inlineStr">
        <is>
          <t>再生する</t>
        </is>
      </c>
      <c r="E424" s="10" t="inlineStr">
        <is>
          <t>Regenerate</t>
        </is>
      </c>
      <c r="F424" s="7" t="inlineStr">
        <is>
          <t>701.19</t>
        </is>
      </c>
      <c r="G424" s="8" t="inlineStr">
        <is>
          <t>次に破壊されるとき、代わりにタップしてダメージを取り除き、戦闘から外す盾を用意する。</t>
        </is>
      </c>
      <c r="H424" s="8" t="inlineStr">
        <is>
          <t>アルファ (1993)</t>
        </is>
      </c>
      <c r="I424" s="8" t="inlineStr">
        <is>
          <t>「次に倒される時HP1で踏みとどまる」1回限りの身代わり盾。StSのバフ1スタックとして実装でき、回数に比例してポイントを付ける。</t>
        </is>
      </c>
      <c r="J424" s="11" t="inlineStr">
        <is>
          <t>高</t>
        </is>
      </c>
      <c r="K424" s="8" t="inlineStr">
        <is>
          <t>ユニットHP</t>
        </is>
      </c>
      <c r="L424" s="12" t="inlineStr">
        <is>
          <t>×</t>
        </is>
      </c>
      <c r="M424" s="13" t="inlineStr">
        <is>
          <t>既存：キーワード不屈（キーワード付与で与えられる）</t>
        </is>
      </c>
    </row>
    <row r="425" ht="29" customHeight="1">
      <c r="A425" s="7" t="n">
        <v>424</v>
      </c>
      <c r="B425" s="8" t="inlineStr">
        <is>
          <t>キーワード処理</t>
        </is>
      </c>
      <c r="C425" s="8" t="inlineStr">
        <is>
          <t>その他</t>
        </is>
      </c>
      <c r="D425" s="9" t="inlineStr">
        <is>
          <t>公開する</t>
        </is>
      </c>
      <c r="E425" s="10" t="inlineStr">
        <is>
          <t>Reveal</t>
        </is>
      </c>
      <c r="F425" s="7" t="inlineStr">
        <is>
          <t>701.20</t>
        </is>
      </c>
      <c r="G425" s="8" t="inlineStr">
        <is>
          <t>非公開のカードを全プレイヤーに見せること。</t>
        </is>
      </c>
      <c r="H425" s="8" t="inlineStr">
        <is>
          <t>第6版 (1999)</t>
        </is>
      </c>
      <c r="I425" s="8" t="inlineStr">
        <is>
          <t>相手の手札や山札上を見せさせる情報系効果。デジタルなら公開状態を一定期間UIに出せ、読み合いのあるPvPで価値が高い。</t>
        </is>
      </c>
      <c r="J425" s="11" t="inlineStr">
        <is>
          <t>高</t>
        </is>
      </c>
      <c r="K425" s="8" t="inlineStr">
        <is>
          <t>非公開情報</t>
        </is>
      </c>
      <c r="L425" s="12" t="inlineStr">
        <is>
          <t>×</t>
        </is>
      </c>
      <c r="M425" s="13" t="inlineStr">
        <is>
          <t>手札は毎ターン捨てるので公開の価値が薄い</t>
        </is>
      </c>
    </row>
    <row r="426" ht="25" customHeight="1">
      <c r="A426" s="7" t="n">
        <v>425</v>
      </c>
      <c r="B426" s="8" t="inlineStr">
        <is>
          <t>キーワード処理</t>
        </is>
      </c>
      <c r="C426" s="8" t="inlineStr">
        <is>
          <t>コスト・リソース</t>
        </is>
      </c>
      <c r="D426" s="9" t="inlineStr">
        <is>
          <t>生け贄に捧げる</t>
        </is>
      </c>
      <c r="E426" s="10" t="inlineStr">
        <is>
          <t>Sacrifice</t>
        </is>
      </c>
      <c r="F426" s="7" t="inlineStr">
        <is>
          <t>701.21</t>
        </is>
      </c>
      <c r="G426" s="8" t="inlineStr">
        <is>
          <t>自分がコントロールするパーマネントを自ら墓地に置くこと。破壊とは別の扱い。</t>
        </is>
      </c>
      <c r="H426" s="8" t="inlineStr">
        <is>
          <t>アルファ (1993)</t>
        </is>
      </c>
      <c r="I426" s="8" t="inlineStr">
        <is>
          <t>自分のミニオンや設置物を消費して大きな効果を得るコスト。ポイント制では失う資源の価値分を割引として計上する。</t>
        </is>
      </c>
      <c r="J426" s="11" t="inlineStr">
        <is>
          <t>高</t>
        </is>
      </c>
      <c r="K426" s="8" t="inlineStr">
        <is>
          <t>場に残るカード</t>
        </is>
      </c>
      <c r="L426" s="12" t="inlineStr">
        <is>
          <t>◎</t>
        </is>
      </c>
      <c r="M426" s="13" t="inlineStr">
        <is>
          <t>【今回実装：生け贄】今回実装 デメリット『生け贄』sacrifice：自分のモンスター1体を選んで破壊（いないと使えない）</t>
        </is>
      </c>
    </row>
    <row r="427" ht="33" customHeight="1">
      <c r="A427" s="7" t="n">
        <v>426</v>
      </c>
      <c r="B427" s="8" t="inlineStr">
        <is>
          <t>キーワード処理</t>
        </is>
      </c>
      <c r="C427" s="8" t="inlineStr">
        <is>
          <t>山札操作</t>
        </is>
      </c>
      <c r="D427" s="9" t="inlineStr">
        <is>
          <t>占術を行う</t>
        </is>
      </c>
      <c r="E427" s="10" t="inlineStr">
        <is>
          <t>Scry</t>
        </is>
      </c>
      <c r="F427" s="7" t="inlineStr">
        <is>
          <t>701.22</t>
        </is>
      </c>
      <c r="G427" s="8" t="inlineStr">
        <is>
          <t>ライブラリーの上から指定枚数を見て、好きな順で上に戻すか下に置くかを決める。</t>
        </is>
      </c>
      <c r="H427" s="8" t="inlineStr">
        <is>
          <t>フィフス・ドーン (2004)</t>
        </is>
      </c>
      <c r="I427" s="8" t="inlineStr">
        <is>
          <t>山札上N枚を見て上下に振り分ける。ドローの質を上げる定番効果で、Nに比例した低コストで多くのカードに付けやすい。</t>
        </is>
      </c>
      <c r="J427" s="11" t="inlineStr">
        <is>
          <t>高</t>
        </is>
      </c>
      <c r="K427" s="8" t="inlineStr">
        <is>
          <t>山札の順序</t>
        </is>
      </c>
      <c r="L427" s="12" t="inlineStr">
        <is>
          <t>◎</t>
        </is>
      </c>
      <c r="M427" s="13" t="inlineStr">
        <is>
          <t>【今回実装：占術】今回実装 効果『占術』scry：山札の上N枚を見て好きな枚数を下へ（選択で捨て札へ＝諜報）</t>
        </is>
      </c>
    </row>
    <row r="428" ht="29" customHeight="1">
      <c r="A428" s="7" t="n">
        <v>427</v>
      </c>
      <c r="B428" s="8" t="inlineStr">
        <is>
          <t>キーワード処理</t>
        </is>
      </c>
      <c r="C428" s="8" t="inlineStr">
        <is>
          <t>山札操作</t>
        </is>
      </c>
      <c r="D428" s="9" t="inlineStr">
        <is>
          <t>探す</t>
        </is>
      </c>
      <c r="E428" s="10" t="inlineStr">
        <is>
          <t>Search</t>
        </is>
      </c>
      <c r="F428" s="7" t="inlineStr">
        <is>
          <t>701.23</t>
        </is>
      </c>
      <c r="G428" s="8" t="inlineStr">
        <is>
          <t>指定のゾーン（主にライブラリー）から条件に合うカードを探し出すこと。通常その後切り直す。</t>
        </is>
      </c>
      <c r="H428" s="8" t="inlineStr">
        <is>
          <t>アルファ (1993)</t>
        </is>
      </c>
      <c r="I428" s="8" t="inlineStr">
        <is>
          <t>山札から条件に合うカードを手札へ。強力なのでコストは高め、または「該当カードを無作為に1枚」に弱めて安くする。</t>
        </is>
      </c>
      <c r="J428" s="11" t="inlineStr">
        <is>
          <t>高</t>
        </is>
      </c>
      <c r="K428" s="8" t="inlineStr">
        <is>
          <t>山札</t>
        </is>
      </c>
      <c r="L428" s="12" t="inlineStr">
        <is>
          <t>×</t>
        </is>
      </c>
      <c r="M428" s="13" t="inlineStr">
        <is>
          <t>既存：サーチ</t>
        </is>
      </c>
    </row>
    <row r="429" ht="25" customHeight="1">
      <c r="A429" s="7" t="n">
        <v>428</v>
      </c>
      <c r="B429" s="8" t="inlineStr">
        <is>
          <t>キーワード処理</t>
        </is>
      </c>
      <c r="C429" s="8" t="inlineStr">
        <is>
          <t>山札操作</t>
        </is>
      </c>
      <c r="D429" s="9" t="inlineStr">
        <is>
          <t>切り直す</t>
        </is>
      </c>
      <c r="E429" s="10" t="inlineStr">
        <is>
          <t>Shuffle</t>
        </is>
      </c>
      <c r="F429" s="7" t="inlineStr">
        <is>
          <t>701.24</t>
        </is>
      </c>
      <c r="G429" s="8" t="inlineStr">
        <is>
          <t>ライブラリーなどのカードを無作為に並べ替えること。</t>
        </is>
      </c>
      <c r="H429" s="8" t="inlineStr">
        <is>
          <t>アルファ (1993)</t>
        </is>
      </c>
      <c r="I429" s="8" t="inlineStr">
        <is>
          <t>捨て札を山札に戻して混ぜる循環の基本操作。「呪いカードを相手の山札に混ぜる」と組み合わせると妨害になる。</t>
        </is>
      </c>
      <c r="J429" s="11" t="inlineStr">
        <is>
          <t>高</t>
        </is>
      </c>
      <c r="K429" s="8" t="inlineStr">
        <is>
          <t>山札</t>
        </is>
      </c>
      <c r="L429" s="12" t="inlineStr">
        <is>
          <t>×</t>
        </is>
      </c>
      <c r="M429" s="13" t="inlineStr">
        <is>
          <t>捨て札は山札切れで自動で切り直す。単独効果の価値が薄い</t>
        </is>
      </c>
    </row>
    <row r="430" ht="25" customHeight="1">
      <c r="A430" s="7" t="n">
        <v>429</v>
      </c>
      <c r="B430" s="8" t="inlineStr">
        <is>
          <t>キーワード処理</t>
        </is>
      </c>
      <c r="C430" s="8" t="inlineStr">
        <is>
          <t>墓地利用</t>
        </is>
      </c>
      <c r="D430" s="9" t="inlineStr">
        <is>
          <t>諜報を行う</t>
        </is>
      </c>
      <c r="E430" s="10" t="inlineStr">
        <is>
          <t>Surveil</t>
        </is>
      </c>
      <c r="F430" s="7" t="inlineStr">
        <is>
          <t>701.25</t>
        </is>
      </c>
      <c r="G430" s="8" t="inlineStr">
        <is>
          <t>ライブラリーの上から指定枚数を見て、墓地に置くか上に戻すかを選ぶ。</t>
        </is>
      </c>
      <c r="H430" s="8" t="inlineStr">
        <is>
          <t>ラヴニカのギルド (2018)</t>
        </is>
      </c>
      <c r="I430" s="8" t="inlineStr">
        <is>
          <t>山札上を見て捨て札に送るか残すか選ぶ。占術と違い捨て札が増えるので、捨て札参照カードとの組み合わせで価値が変わる。</t>
        </is>
      </c>
      <c r="J430" s="11" t="inlineStr">
        <is>
          <t>高</t>
        </is>
      </c>
      <c r="K430" s="8" t="inlineStr">
        <is>
          <t>山札・捨て札</t>
        </is>
      </c>
      <c r="L430" s="12" t="inlineStr">
        <is>
          <t>◎</t>
        </is>
      </c>
      <c r="M430" s="13" t="inlineStr">
        <is>
          <t>【今回実装：占術】今回実装 効果『占術』scry の「捨て札へ」の選択肢として統合（#426）</t>
        </is>
      </c>
    </row>
    <row r="431" ht="41.5" customHeight="1">
      <c r="A431" s="7" t="n">
        <v>430</v>
      </c>
      <c r="B431" s="8" t="inlineStr">
        <is>
          <t>キーワード処理</t>
        </is>
      </c>
      <c r="C431" s="8" t="inlineStr">
        <is>
          <t>コスト・リソース</t>
        </is>
      </c>
      <c r="D431" s="9" t="inlineStr">
        <is>
          <t>タップする</t>
        </is>
      </c>
      <c r="E431" s="10" t="inlineStr">
        <is>
          <t>Tap</t>
        </is>
      </c>
      <c r="F431" s="7" t="inlineStr">
        <is>
          <t>701.26</t>
        </is>
      </c>
      <c r="G431" s="8" t="inlineStr">
        <is>
          <t>パーマネントを横向きにして使用済みの状態にすること。攻撃やマナ生成などのコストになる。</t>
        </is>
      </c>
      <c r="H431" s="8" t="inlineStr">
        <is>
          <t>アルファ (1993)</t>
        </is>
      </c>
      <c r="I431" s="8" t="inlineStr">
        <is>
          <t>カードに「行動済み」フラグを立てるだけで実装可。設置物の能力をターン1回に制限したり、敵ユニットを止める妨害に使える。</t>
        </is>
      </c>
      <c r="J431" s="11" t="inlineStr">
        <is>
          <t>高</t>
        </is>
      </c>
      <c r="K431" s="8" t="inlineStr">
        <is>
          <t>場に残るカード</t>
        </is>
      </c>
      <c r="L431" s="12" t="inlineStr">
        <is>
          <t>×</t>
        </is>
      </c>
      <c r="M431" s="13" t="inlineStr">
        <is>
          <t>既存：凍結</t>
        </is>
      </c>
    </row>
    <row r="432" ht="41.5" customHeight="1">
      <c r="A432" s="7" t="n">
        <v>431</v>
      </c>
      <c r="B432" s="8" t="inlineStr">
        <is>
          <t>キーワード処理</t>
        </is>
      </c>
      <c r="C432" s="8" t="inlineStr">
        <is>
          <t>反復・再利用</t>
        </is>
      </c>
      <c r="D432" s="9" t="inlineStr">
        <is>
          <t>アンタップする</t>
        </is>
      </c>
      <c r="E432" s="10" t="inlineStr">
        <is>
          <t>Untap</t>
        </is>
      </c>
      <c r="F432" s="7" t="inlineStr">
        <is>
          <t>701.26</t>
        </is>
      </c>
      <c r="G432" s="8" t="inlineStr">
        <is>
          <t>タップ状態のパーマネントを縦向きに戻し、再び使える状態にすること。</t>
        </is>
      </c>
      <c r="H432" s="8" t="inlineStr">
        <is>
          <t>アルファ (1993)</t>
        </is>
      </c>
      <c r="I432" s="8" t="inlineStr">
        <is>
          <t>行動済みのカードをその場でリセットし、同じ能力をもう一度使う。ターン1回制限の設置物と組むと強いので、コスト調整が要る。</t>
        </is>
      </c>
      <c r="J432" s="11" t="inlineStr">
        <is>
          <t>高</t>
        </is>
      </c>
      <c r="K432" s="8" t="inlineStr">
        <is>
          <t>行動済みフラグ</t>
        </is>
      </c>
      <c r="L432" s="12" t="inlineStr">
        <is>
          <t>◎</t>
        </is>
      </c>
      <c r="M432" s="13" t="inlineStr">
        <is>
          <t>【今回実装：再行動】今回実装 効果『再行動』ready に統合（#91）</t>
        </is>
      </c>
    </row>
    <row r="433" ht="37.5" customHeight="1">
      <c r="A433" s="7" t="n">
        <v>432</v>
      </c>
      <c r="B433" s="8" t="inlineStr">
        <is>
          <t>キーワード処理</t>
        </is>
      </c>
      <c r="C433" s="8" t="inlineStr">
        <is>
          <t>成長・カウンター</t>
        </is>
      </c>
      <c r="D433" s="9" t="inlineStr">
        <is>
          <t>変身させる</t>
        </is>
      </c>
      <c r="E433" s="10" t="inlineStr">
        <is>
          <t>Transform</t>
        </is>
      </c>
      <c r="F433" s="7" t="inlineStr">
        <is>
          <t>701.27</t>
        </is>
      </c>
      <c r="G433" s="8" t="inlineStr">
        <is>
          <t>両面カードを裏返し、もう一方の面の特性に切り替えること。</t>
        </is>
      </c>
      <c r="H433" s="8" t="inlineStr">
        <is>
          <t>イニストラード (2011)</t>
        </is>
      </c>
      <c r="I433" s="8" t="inlineStr">
        <is>
          <t>条件達成でカードが別の面へ進化。デジタルなら物理的な両面は不要で、表裏の合計性能から変身条件の難しさ分を割り引いて価格を決める。</t>
        </is>
      </c>
      <c r="J433" s="11" t="inlineStr">
        <is>
          <t>中</t>
        </is>
      </c>
      <c r="K433" s="8" t="inlineStr">
        <is>
          <t>両面データ</t>
        </is>
      </c>
      <c r="L433" s="12" t="inlineStr">
        <is>
          <t>◎</t>
        </is>
      </c>
      <c r="M433" s="13" t="inlineStr">
        <is>
          <t>【今回実装：鍛錬】変身の代わりに条件付きの鍛錬（攻撃力・体力+N）で表現</t>
        </is>
      </c>
    </row>
    <row r="434" ht="37.5" customHeight="1">
      <c r="A434" s="7" t="n">
        <v>433</v>
      </c>
      <c r="B434" s="8" t="inlineStr">
        <is>
          <t>キーワード処理</t>
        </is>
      </c>
      <c r="C434" s="8" t="inlineStr">
        <is>
          <t>成長・カウンター</t>
        </is>
      </c>
      <c r="D434" s="9" t="inlineStr">
        <is>
          <t>トランスフォームさせる</t>
        </is>
      </c>
      <c r="E434" s="10" t="inlineStr">
        <is>
          <t>Convert</t>
        </is>
      </c>
      <c r="F434" s="7" t="inlineStr">
        <is>
          <t>701.28</t>
        </is>
      </c>
      <c r="G434" s="8" t="inlineStr">
        <is>
          <t>両面カードの面を切り替えること。表から裏、裏から表のどちらにも何度でも切り替わる。</t>
        </is>
      </c>
      <c r="H434" s="8" t="inlineStr">
        <is>
          <t>兄弟戦争 (2022)</t>
        </is>
      </c>
      <c r="I434" s="8" t="inlineStr">
        <is>
          <t>攻撃形態と防御形態を行き来するカード。毎ターン任意で切り替えられると戦術性が高く、切り替えコストをエネルギーで設定する。</t>
        </is>
      </c>
      <c r="J434" s="11" t="inlineStr">
        <is>
          <t>中</t>
        </is>
      </c>
      <c r="K434" s="8" t="inlineStr">
        <is>
          <t>両面データ</t>
        </is>
      </c>
      <c r="L434" s="12" t="inlineStr">
        <is>
          <t>×</t>
        </is>
      </c>
      <c r="M434" s="13" t="inlineStr">
        <is>
          <t>両面切替は重く、攻守切替の価値に見合わない</t>
        </is>
      </c>
    </row>
    <row r="435" ht="41.5" customHeight="1">
      <c r="A435" s="7" t="n">
        <v>434</v>
      </c>
      <c r="B435" s="8" t="inlineStr">
        <is>
          <t>キーワード処理</t>
        </is>
      </c>
      <c r="C435" s="8" t="inlineStr">
        <is>
          <t>妨害</t>
        </is>
      </c>
      <c r="D435" s="9" t="inlineStr">
        <is>
          <t>消術を行う</t>
        </is>
      </c>
      <c r="E435" s="10" t="inlineStr">
        <is>
          <t>Fateseal</t>
        </is>
      </c>
      <c r="F435" s="7" t="inlineStr">
        <is>
          <t>701.29</t>
        </is>
      </c>
      <c r="G435" s="8" t="inlineStr">
        <is>
          <t>対戦相手のライブラリーの上から指定枚数を見て、上か下かに振り分けること。</t>
        </is>
      </c>
      <c r="H435" s="8" t="inlineStr">
        <is>
          <t>未来予知 (2007)</t>
        </is>
      </c>
      <c r="I435" s="8" t="inlineStr">
        <is>
          <t>相手の次のドローを操作する妨害版の占術。PvPで相手の強いカードを山札の下へ送れる。情報も得るのでやや高めのポイント。</t>
        </is>
      </c>
      <c r="J435" s="11" t="inlineStr">
        <is>
          <t>高</t>
        </is>
      </c>
      <c r="K435" s="8" t="inlineStr">
        <is>
          <t>相手の山札</t>
        </is>
      </c>
      <c r="L435" s="12" t="inlineStr">
        <is>
          <t>△</t>
        </is>
      </c>
      <c r="M435" s="13" t="inlineStr">
        <is>
          <t>相手の山札上N枚を上下に振り分け。占術UIの流用で後から追加</t>
        </is>
      </c>
    </row>
    <row r="436" ht="25" customHeight="1">
      <c r="A436" s="7" t="n">
        <v>435</v>
      </c>
      <c r="B436" s="8" t="inlineStr">
        <is>
          <t>キーワード処理</t>
        </is>
      </c>
      <c r="C436" s="8" t="inlineStr">
        <is>
          <t>条件ボーナス</t>
        </is>
      </c>
      <c r="D436" s="9" t="inlineStr">
        <is>
          <t>激突を行う</t>
        </is>
      </c>
      <c r="E436" s="10" t="inlineStr">
        <is>
          <t>Clash</t>
        </is>
      </c>
      <c r="F436" s="7" t="inlineStr">
        <is>
          <t>701.30</t>
        </is>
      </c>
      <c r="G436" s="8" t="inlineStr">
        <is>
          <t>各自がライブラリーの一番上を公開し、マナ総量が大きい側が勝って追加効果を得る比べ合い。</t>
        </is>
      </c>
      <c r="H436" s="8" t="inlineStr">
        <is>
          <t>ローウィン (2007)</t>
        </is>
      </c>
      <c r="I436" s="8" t="inlineStr">
        <is>
          <t>互いの山札トップのコストを比べ、勝てば追加効果。高コスト中心のデッキが得をするので、構築の方向性を作れる。</t>
        </is>
      </c>
      <c r="J436" s="11" t="inlineStr">
        <is>
          <t>高</t>
        </is>
      </c>
      <c r="K436" s="8" t="inlineStr">
        <is>
          <t>カードのコスト値</t>
        </is>
      </c>
      <c r="L436" s="12" t="inlineStr">
        <is>
          <t>◎</t>
        </is>
      </c>
      <c r="M436" s="13" t="inlineStr">
        <is>
          <t>【今回実装：条件『激突に勝つ』（`clash`・バッチA）】（審査時は○）次回検討：山札のコスト次第で確率が偏る。運の条件は今回コイン投げで足りる</t>
        </is>
      </c>
    </row>
    <row r="437" ht="25" customHeight="1">
      <c r="A437" s="7" t="n">
        <v>436</v>
      </c>
      <c r="B437" s="8" t="inlineStr">
        <is>
          <t>キーワード処理</t>
        </is>
      </c>
      <c r="C437" s="8" t="inlineStr">
        <is>
          <t>多人数・交流</t>
        </is>
      </c>
      <c r="D437" s="9" t="inlineStr">
        <is>
          <t>プレインズウォークする</t>
        </is>
      </c>
      <c r="E437" s="10" t="inlineStr">
        <is>
          <t>Planeswalk</t>
        </is>
      </c>
      <c r="F437" s="7" t="inlineStr">
        <is>
          <t>701.31</t>
        </is>
      </c>
      <c r="G437" s="8" t="inlineStr">
        <is>
          <t>プレインチェイス戦で、現在の次元カードを次のものに切り替えること。</t>
        </is>
      </c>
      <c r="H437" s="8" t="inlineStr">
        <is>
          <t>プレインチェイス (2009)</t>
        </is>
      </c>
      <c r="I437" s="8" t="inlineStr">
        <is>
          <t>全員共通の「戦場ルールカード」を数ターンごとに切り替える。毎試合違う展開になり、ルールの上書きもデジタルなら容易。</t>
        </is>
      </c>
      <c r="J437" s="11" t="inlineStr">
        <is>
          <t>中</t>
        </is>
      </c>
      <c r="K437" s="8" t="inlineStr">
        <is>
          <t>共有ルールカード</t>
        </is>
      </c>
      <c r="L437" s="12" t="inlineStr">
        <is>
          <t>×</t>
        </is>
      </c>
      <c r="M437" s="13" t="inlineStr">
        <is>
          <t>プレインチェイス（多人数・共有ルールカード）</t>
        </is>
      </c>
    </row>
    <row r="438" ht="29" customHeight="1">
      <c r="A438" s="7" t="n">
        <v>437</v>
      </c>
      <c r="B438" s="8" t="inlineStr">
        <is>
          <t>キーワード処理</t>
        </is>
      </c>
      <c r="C438" s="8" t="inlineStr">
        <is>
          <t>多人数・交流</t>
        </is>
      </c>
      <c r="D438" s="9" t="inlineStr">
        <is>
          <t>実行中にする</t>
        </is>
      </c>
      <c r="E438" s="10" t="inlineStr">
        <is>
          <t>Set in motion</t>
        </is>
      </c>
      <c r="F438" s="7" t="inlineStr">
        <is>
          <t>701.32</t>
        </is>
      </c>
      <c r="G438" s="8" t="inlineStr">
        <is>
          <t>アーチエネミー戦で、計略カードを表向きにしてその効果を発動させること。</t>
        </is>
      </c>
      <c r="H438" s="8" t="inlineStr">
        <is>
          <t>アーチエネミー (2010)</t>
        </is>
      </c>
      <c r="I438" s="10" t="inlineStr">
        <is>
          <t>CPUボス用の計略デッキを毎ターン1枚めくる。敵の行動パターンをカード化でき、複数人でボスに挑む協力戦にも流用できる。</t>
        </is>
      </c>
      <c r="J438" s="11" t="inlineStr">
        <is>
          <t>中</t>
        </is>
      </c>
      <c r="K438" s="8" t="inlineStr">
        <is>
          <t>ボス用デッキ</t>
        </is>
      </c>
      <c r="L438" s="12" t="inlineStr">
        <is>
          <t>×</t>
        </is>
      </c>
      <c r="M438" s="13" t="inlineStr">
        <is>
          <t>アーチエネミー戦前提</t>
        </is>
      </c>
    </row>
    <row r="439" ht="25" customHeight="1">
      <c r="A439" s="7" t="n">
        <v>438</v>
      </c>
      <c r="B439" s="8" t="inlineStr">
        <is>
          <t>キーワード処理</t>
        </is>
      </c>
      <c r="C439" s="8" t="inlineStr">
        <is>
          <t>多人数・交流</t>
        </is>
      </c>
      <c r="D439" s="9" t="inlineStr">
        <is>
          <t>破棄する</t>
        </is>
      </c>
      <c r="E439" s="10" t="inlineStr">
        <is>
          <t>Abandon</t>
        </is>
      </c>
      <c r="F439" s="7" t="inlineStr">
        <is>
          <t>701.33</t>
        </is>
      </c>
      <c r="G439" s="8" t="inlineStr">
        <is>
          <t>アーチエネミー戦で、表向きの継続する計略を計略デッキの一番下に戻すこと。</t>
        </is>
      </c>
      <c r="H439" s="8" t="inlineStr">
        <is>
          <t>アーチエネミー (2010)</t>
        </is>
      </c>
      <c r="I439" s="8" t="inlineStr">
        <is>
          <t>ボスの持続計略を、プレイヤー側の条件達成で解除できる仕組み。ギミック破壊を目標にした協力戦のボス設計に向く。</t>
        </is>
      </c>
      <c r="J439" s="11" t="inlineStr">
        <is>
          <t>中</t>
        </is>
      </c>
      <c r="K439" s="8" t="inlineStr">
        <is>
          <t>ボス用デッキ</t>
        </is>
      </c>
      <c r="L439" s="12" t="inlineStr">
        <is>
          <t>×</t>
        </is>
      </c>
      <c r="M439" s="13" t="inlineStr">
        <is>
          <t>アーチエネミー戦前提</t>
        </is>
      </c>
    </row>
    <row r="440" ht="41.5" customHeight="1">
      <c r="A440" s="7" t="n">
        <v>439</v>
      </c>
      <c r="B440" s="8" t="inlineStr">
        <is>
          <t>キーワード処理</t>
        </is>
      </c>
      <c r="C440" s="8" t="inlineStr">
        <is>
          <t>成長・カウンター</t>
        </is>
      </c>
      <c r="D440" s="9" t="inlineStr">
        <is>
          <t>増殖を行う</t>
        </is>
      </c>
      <c r="E440" s="10" t="inlineStr">
        <is>
          <t>Proliferate</t>
        </is>
      </c>
      <c r="F440" s="7" t="inlineStr">
        <is>
          <t>701.34</t>
        </is>
      </c>
      <c r="G440" s="8" t="inlineStr">
        <is>
          <t>カウンターが置かれたパーマネントやプレイヤーを好きな数選び、そこにある種類のカウンターを1つずつ追加する。</t>
        </is>
      </c>
      <c r="H440" s="8" t="inlineStr">
        <is>
          <t>ミラディンの傷跡 (2010)</t>
        </is>
      </c>
      <c r="I440" s="8" t="inlineStr">
        <is>
          <t>全バフ・デバフのスタック数を一括で+1。毒や筋力など既存スタックを伸ばせるので、状態異常型デッキの軸になる。</t>
        </is>
      </c>
      <c r="J440" s="11" t="inlineStr">
        <is>
          <t>高</t>
        </is>
      </c>
      <c r="K440" s="8" t="inlineStr">
        <is>
          <t>スタック型の状態</t>
        </is>
      </c>
      <c r="L440" s="12" t="inlineStr">
        <is>
          <t>◎</t>
        </is>
      </c>
      <c r="M440" s="13" t="inlineStr">
        <is>
          <t>【今回実装：効果『増殖』（`proliferate`・バッチB）】（審査時は○）次回：効果『増殖』。今回の『倍化』と役割が近いので後回し</t>
        </is>
      </c>
    </row>
    <row r="441" ht="29" customHeight="1">
      <c r="A441" s="7" t="n">
        <v>440</v>
      </c>
      <c r="B441" s="8" t="inlineStr">
        <is>
          <t>キーワード処理</t>
        </is>
      </c>
      <c r="C441" s="8" t="inlineStr">
        <is>
          <t>妨害</t>
        </is>
      </c>
      <c r="D441" s="9" t="inlineStr">
        <is>
          <t>留置する</t>
        </is>
      </c>
      <c r="E441" s="10" t="inlineStr">
        <is>
          <t>Detain</t>
        </is>
      </c>
      <c r="F441" s="7" t="inlineStr">
        <is>
          <t>701.35</t>
        </is>
      </c>
      <c r="G441" s="8" t="inlineStr">
        <is>
          <t>次のあなたのターンまで、対象のパーマネントの攻撃・ブロックと能力の起動を禁じること。</t>
        </is>
      </c>
      <c r="H441" s="8" t="inlineStr">
        <is>
          <t>ラヴニカへの回帰 (2012)</t>
        </is>
      </c>
      <c r="I441" s="8" t="inlineStr">
        <is>
          <t>敵ユニットや設置物を1ラウンド行動不能にする。CPU戦なら敵1体の次の行動をスキップさせる効果として分かりやすい。</t>
        </is>
      </c>
      <c r="J441" s="11" t="inlineStr">
        <is>
          <t>高</t>
        </is>
      </c>
      <c r="K441" s="8" t="inlineStr">
        <is>
          <t>ユニットの行動</t>
        </is>
      </c>
      <c r="L441" s="12" t="inlineStr">
        <is>
          <t>×</t>
        </is>
      </c>
      <c r="M441" s="13" t="inlineStr">
        <is>
          <t>既存：凍結＋封印</t>
        </is>
      </c>
    </row>
    <row r="442" ht="41.5" customHeight="1">
      <c r="A442" s="7" t="n">
        <v>441</v>
      </c>
      <c r="B442" s="8" t="inlineStr">
        <is>
          <t>キーワード処理</t>
        </is>
      </c>
      <c r="C442" s="8" t="inlineStr">
        <is>
          <t>展開・トークン</t>
        </is>
      </c>
      <c r="D442" s="9" t="inlineStr">
        <is>
          <t>居住を行う</t>
        </is>
      </c>
      <c r="E442" s="10" t="inlineStr">
        <is>
          <t>Populate</t>
        </is>
      </c>
      <c r="F442" s="7" t="inlineStr">
        <is>
          <t>701.36</t>
        </is>
      </c>
      <c r="G442" s="8" t="inlineStr">
        <is>
          <t>自分がコントロールするクリーチャー・トークン1つを選び、そのコピーを生成すること。</t>
        </is>
      </c>
      <c r="H442" s="8" t="inlineStr">
        <is>
          <t>ラヴニカへの回帰 (2012)</t>
        </is>
      </c>
      <c r="I442" s="8" t="inlineStr">
        <is>
          <t>すでに出ているミニオンを1体複製する。強いトークンを出すほど価値が上がるので、トークン戦略の追加報酬として安めに置く。</t>
        </is>
      </c>
      <c r="J442" s="11" t="inlineStr">
        <is>
          <t>高</t>
        </is>
      </c>
      <c r="K442" s="8" t="inlineStr">
        <is>
          <t>トークン</t>
        </is>
      </c>
      <c r="L442" s="12" t="inlineStr">
        <is>
          <t>◎</t>
        </is>
      </c>
      <c r="M442" s="13" t="inlineStr">
        <is>
          <t>【今回実装：効果『居住』（`populate`・バッチB）】（審査時は○）効果『居住』：自分のトークン1体を複製。トークン生成が前提</t>
        </is>
      </c>
    </row>
    <row r="443" ht="41.5" customHeight="1">
      <c r="A443" s="7" t="n">
        <v>442</v>
      </c>
      <c r="B443" s="8" t="inlineStr">
        <is>
          <t>キーワード処理</t>
        </is>
      </c>
      <c r="C443" s="8" t="inlineStr">
        <is>
          <t>成長・カウンター</t>
        </is>
      </c>
      <c r="D443" s="9" t="inlineStr">
        <is>
          <t>怪物化を行う</t>
        </is>
      </c>
      <c r="E443" s="10" t="inlineStr">
        <is>
          <t>Monstrosity</t>
        </is>
      </c>
      <c r="F443" s="7" t="inlineStr">
        <is>
          <t>701.37</t>
        </is>
      </c>
      <c r="G443" s="8" t="inlineStr">
        <is>
          <t>まだ怪物的でないクリーチャーに+1/+1カウンターをN個置き、怪物的な状態にする。一度きり。</t>
        </is>
      </c>
      <c r="H443" s="8" t="inlineStr">
        <is>
          <t>テーロス (2013)</t>
        </is>
      </c>
      <c r="I443" s="8" t="inlineStr">
        <is>
          <t>エネルギーを払うと一度だけ大きく強化され「覚醒済」になる。覚醒時の追加効果も付けられ、1回限りなのでポイントを抑えやすい。</t>
        </is>
      </c>
      <c r="J443" s="11" t="inlineStr">
        <is>
          <t>高</t>
        </is>
      </c>
      <c r="K443" s="8" t="inlineStr">
        <is>
          <t>一度きりフラグ</t>
        </is>
      </c>
      <c r="L443" s="12" t="inlineStr">
        <is>
          <t>◎</t>
        </is>
      </c>
      <c r="M443" s="13" t="inlineStr">
        <is>
          <t>【今回実装：鍛錬】今回の要素で作れる：条件付きの鍛錬で代用</t>
        </is>
      </c>
    </row>
    <row r="444" ht="29" customHeight="1">
      <c r="A444" s="7" t="n">
        <v>443</v>
      </c>
      <c r="B444" s="8" t="inlineStr">
        <is>
          <t>キーワード処理</t>
        </is>
      </c>
      <c r="C444" s="8" t="inlineStr">
        <is>
          <t>多人数・交流</t>
        </is>
      </c>
      <c r="D444" s="9" t="inlineStr">
        <is>
          <t>投票する</t>
        </is>
      </c>
      <c r="E444" s="10" t="inlineStr">
        <is>
          <t>Vote</t>
        </is>
      </c>
      <c r="F444" s="7" t="inlineStr">
        <is>
          <t>701.38</t>
        </is>
      </c>
      <c r="G444" s="8" t="inlineStr">
        <is>
          <t>各プレイヤーが選択肢の中から1つに票を入れ、結果に応じて効果が決まる。</t>
        </is>
      </c>
      <c r="H444" s="8" t="inlineStr">
        <is>
          <t>コンスピラシー (2014)</t>
        </is>
      </c>
      <c r="I444" s="8" t="inlineStr">
        <is>
          <t>多人数戦で全員が投票し多数決で効果を決める。1対1なら「相手が選ぶ二択」に変形でき、相手に選ばせる分コストを下げる。</t>
        </is>
      </c>
      <c r="J444" s="11" t="inlineStr">
        <is>
          <t>中</t>
        </is>
      </c>
      <c r="K444" s="8" t="inlineStr">
        <is>
          <t>多人数/選択UI</t>
        </is>
      </c>
      <c r="L444" s="12" t="inlineStr">
        <is>
          <t>×</t>
        </is>
      </c>
      <c r="M444" s="13" t="inlineStr">
        <is>
          <t>多人数前提（二択は#459で扱う）</t>
        </is>
      </c>
    </row>
    <row r="445" ht="29" customHeight="1">
      <c r="A445" s="7" t="n">
        <v>444</v>
      </c>
      <c r="B445" s="8" t="inlineStr">
        <is>
          <t>キーワード処理</t>
        </is>
      </c>
      <c r="C445" s="8" t="inlineStr">
        <is>
          <t>強化</t>
        </is>
      </c>
      <c r="D445" s="9" t="inlineStr">
        <is>
          <t>鼓舞を行う</t>
        </is>
      </c>
      <c r="E445" s="10" t="inlineStr">
        <is>
          <t>Bolster</t>
        </is>
      </c>
      <c r="F445" s="7" t="inlineStr">
        <is>
          <t>701.39</t>
        </is>
      </c>
      <c r="G445" s="8" t="inlineStr">
        <is>
          <t>自分のクリーチャーのうちタフネスが最も低いものに+1/+1カウンターをN個置く。</t>
        </is>
      </c>
      <c r="H445" s="8" t="inlineStr">
        <is>
          <t>運命再編 (2015)</t>
        </is>
      </c>
      <c r="I445" s="8" t="inlineStr">
        <is>
          <t>味方で最もHPが低いユニットを自動で強化。対象選択が不要なので、弱い味方を底上げする自動配分として扱いやすい。</t>
        </is>
      </c>
      <c r="J445" s="11" t="inlineStr">
        <is>
          <t>高</t>
        </is>
      </c>
      <c r="K445" s="8" t="inlineStr">
        <is>
          <t>複数ユニット</t>
        </is>
      </c>
      <c r="L445" s="12" t="inlineStr">
        <is>
          <t>◎</t>
        </is>
      </c>
      <c r="M445" s="13" t="inlineStr">
        <is>
          <t>【今回実装：対象『いちばん体力の低い自分のモンスター』（鍛錬＋この対象＝鼓舞）（`weakestAlly`・バッチA）】（審査時は○）次回：対象『いちばん体力の低い自分のモンスター』</t>
        </is>
      </c>
    </row>
    <row r="446" ht="41.5" customHeight="1">
      <c r="A446" s="7" t="n">
        <v>445</v>
      </c>
      <c r="B446" s="8" t="inlineStr">
        <is>
          <t>キーワード処理</t>
        </is>
      </c>
      <c r="C446" s="8" t="inlineStr">
        <is>
          <t>展開・トークン</t>
        </is>
      </c>
      <c r="D446" s="9" t="inlineStr">
        <is>
          <t>予示する</t>
        </is>
      </c>
      <c r="E446" s="10" t="inlineStr">
        <is>
          <t>Manifest</t>
        </is>
      </c>
      <c r="F446" s="7" t="inlineStr">
        <is>
          <t>701.40</t>
        </is>
      </c>
      <c r="G446" s="8" t="inlineStr">
        <is>
          <t>ライブラリーの一番上を裏向きの2/2クリーチャーとして出す。クリーチャーなら表向きにできる。</t>
        </is>
      </c>
      <c r="H446" s="8" t="inlineStr">
        <is>
          <t>運命再編 (2015)</t>
        </is>
      </c>
      <c r="I446" s="8" t="inlineStr">
        <is>
          <t>山札トップを正体不明の2/2ミニオンとして出す。相手には中身が見えない隠し情報を活かし、当たりなら表にして本来の性能に。</t>
        </is>
      </c>
      <c r="J446" s="11" t="inlineStr">
        <is>
          <t>中</t>
        </is>
      </c>
      <c r="K446" s="8" t="inlineStr">
        <is>
          <t>裏向き状態</t>
        </is>
      </c>
      <c r="L446" s="12" t="inlineStr">
        <is>
          <t>△</t>
        </is>
      </c>
      <c r="M446" s="13" t="inlineStr">
        <is>
          <t>山札トップを裏向き2/2で出す。非公開状態が重い</t>
        </is>
      </c>
    </row>
    <row r="447" ht="29" customHeight="1">
      <c r="A447" s="7" t="n">
        <v>446</v>
      </c>
      <c r="B447" s="8" t="inlineStr">
        <is>
          <t>キーワード処理</t>
        </is>
      </c>
      <c r="C447" s="8" t="inlineStr">
        <is>
          <t>強化</t>
        </is>
      </c>
      <c r="D447" s="9" t="inlineStr">
        <is>
          <t>支援を行う</t>
        </is>
      </c>
      <c r="E447" s="10" t="inlineStr">
        <is>
          <t>Support</t>
        </is>
      </c>
      <c r="F447" s="7" t="inlineStr">
        <is>
          <t>701.41</t>
        </is>
      </c>
      <c r="G447" s="8" t="inlineStr">
        <is>
          <t>他のクリーチャー最大N体に、+1/+1カウンターを1つずつ置くこと。</t>
        </is>
      </c>
      <c r="H447" s="8" t="inlineStr">
        <is>
          <t>ゲートウォッチの誓い (2016)</t>
        </is>
      </c>
      <c r="I447" s="8" t="inlineStr">
        <is>
          <t>味方複数体に+1ずつ配る分散強化。ミニオンが多いほど効率が上がるので、展開系アーキタイプの報酬として配置する。</t>
        </is>
      </c>
      <c r="J447" s="11" t="inlineStr">
        <is>
          <t>高</t>
        </is>
      </c>
      <c r="K447" s="8" t="inlineStr">
        <is>
          <t>複数ユニット</t>
        </is>
      </c>
      <c r="L447" s="12" t="inlineStr">
        <is>
          <t>◎</t>
        </is>
      </c>
      <c r="M447" s="13" t="inlineStr">
        <is>
          <t>【今回実装：自分のモンスター全体】今回実装 対象『自分のモンスター全体』allyMonsters（鍛錬・修理などで使う）</t>
        </is>
      </c>
    </row>
    <row r="448" ht="37.5" customHeight="1">
      <c r="A448" s="7" t="n">
        <v>447</v>
      </c>
      <c r="B448" s="8" t="inlineStr">
        <is>
          <t>キーワード処理</t>
        </is>
      </c>
      <c r="C448" s="8" t="inlineStr">
        <is>
          <t>コスト・リソース</t>
        </is>
      </c>
      <c r="D448" s="9" t="inlineStr">
        <is>
          <t>督励する</t>
        </is>
      </c>
      <c r="E448" s="10" t="inlineStr">
        <is>
          <t>Exert</t>
        </is>
      </c>
      <c r="F448" s="7" t="inlineStr">
        <is>
          <t>701.43</t>
        </is>
      </c>
      <c r="G448" s="8" t="inlineStr">
        <is>
          <t>攻撃時に督励すると追加効果を得るが、そのクリーチャーは次のアンタップ・ステップにアンタップしない。</t>
        </is>
      </c>
      <c r="H448" s="8" t="inlineStr">
        <is>
          <t>アモンケット (2017)</t>
        </is>
      </c>
      <c r="I448" s="8" t="inlineStr">
        <is>
          <t>「今ターン強化する代わりに次ターン行動不可」の前借り。ミニオンや装備に任意で選ばせると、リスクとリターンの判断が生まれる。</t>
        </is>
      </c>
      <c r="J448" s="11" t="inlineStr">
        <is>
          <t>高</t>
        </is>
      </c>
      <c r="K448" s="8" t="inlineStr">
        <is>
          <t>行動済みフラグ</t>
        </is>
      </c>
      <c r="L448" s="12" t="inlineStr">
        <is>
          <t>◎</t>
        </is>
      </c>
      <c r="M448" s="13" t="inlineStr">
        <is>
          <t>【今回実装：デメリット『消耗』（`exert`・バッチA）】（審査時は○）次回：デメリット『消耗』。今回の『腐乱』と近い</t>
        </is>
      </c>
    </row>
    <row r="449" ht="41.5" customHeight="1">
      <c r="A449" s="7" t="n">
        <v>448</v>
      </c>
      <c r="B449" s="8" t="inlineStr">
        <is>
          <t>キーワード処理</t>
        </is>
      </c>
      <c r="C449" s="8" t="inlineStr">
        <is>
          <t>成長・カウンター</t>
        </is>
      </c>
      <c r="D449" s="9" t="inlineStr">
        <is>
          <t>探検を行う</t>
        </is>
      </c>
      <c r="E449" s="10" t="inlineStr">
        <is>
          <t>Explore</t>
        </is>
      </c>
      <c r="F449" s="7" t="inlineStr">
        <is>
          <t>701.44</t>
        </is>
      </c>
      <c r="G449" s="8" t="inlineStr">
        <is>
          <t>ライブラリーの一番上を公開し、土地なら手札へ、それ以外なら+1/+1カウンターを得て墓地に置くか選ぶ。</t>
        </is>
      </c>
      <c r="H449" s="8" t="inlineStr">
        <is>
          <t>イクサラン (2017)</t>
        </is>
      </c>
      <c r="I449" s="8" t="inlineStr">
        <is>
          <t>山札トップを公開し、資源カードなら手札へ、それ以外なら自身を強化。どちらでも得をするので、乱数への不満を抑えやすい。</t>
        </is>
      </c>
      <c r="J449" s="11" t="inlineStr">
        <is>
          <t>高</t>
        </is>
      </c>
      <c r="K449" s="8" t="inlineStr">
        <is>
          <t>山札・カウンター</t>
        </is>
      </c>
      <c r="L449" s="12" t="inlineStr">
        <is>
          <t>◎</t>
        </is>
      </c>
      <c r="M449" s="13" t="inlineStr">
        <is>
          <t>【今回実装：効果『探検』（`explore`・バッチB）】（審査時は○）効果『探検』：山札の一番上を公開、モンスターなら手札へ、違えば自分のモンスター1体を鍛錬+N</t>
        </is>
      </c>
    </row>
    <row r="450" ht="37.5" customHeight="1">
      <c r="A450" s="7" t="n">
        <v>449</v>
      </c>
      <c r="B450" s="8" t="inlineStr">
        <is>
          <t>キーワード処理</t>
        </is>
      </c>
      <c r="C450" s="8" t="inlineStr">
        <is>
          <t>展開・トークン</t>
        </is>
      </c>
      <c r="D450" s="9" t="inlineStr">
        <is>
          <t>組み立てる（非公式訳）</t>
        </is>
      </c>
      <c r="E450" s="10" t="inlineStr">
        <is>
          <t>Assemble</t>
        </is>
      </c>
      <c r="F450" s="7" t="inlineStr">
        <is>
          <t>701.45</t>
        </is>
      </c>
      <c r="G450" s="8" t="inlineStr">
        <is>
          <t>銀枠セットの処理で、専用のからくりデッキの一番上を戦場に出すこと。</t>
        </is>
      </c>
      <c r="H450" s="10" t="inlineStr">
        <is>
          <t>Unstable (2017)</t>
        </is>
      </c>
      <c r="I450" s="8" t="inlineStr">
        <is>
          <t>メインとは別の部品デッキから部品を引いて装着していく。副デッキによって構築に厚みが出て、組み合わせの楽しさも生まれる。</t>
        </is>
      </c>
      <c r="J450" s="11" t="inlineStr">
        <is>
          <t>中</t>
        </is>
      </c>
      <c r="K450" s="8" t="inlineStr">
        <is>
          <t>副デッキ</t>
        </is>
      </c>
      <c r="L450" s="12" t="inlineStr">
        <is>
          <t>×</t>
        </is>
      </c>
      <c r="M450" s="13" t="inlineStr">
        <is>
          <t>副デッキ（からくり）前提</t>
        </is>
      </c>
    </row>
    <row r="451" ht="29" customHeight="1">
      <c r="A451" s="7" t="n">
        <v>450</v>
      </c>
      <c r="B451" s="8" t="inlineStr">
        <is>
          <t>キーワード処理</t>
        </is>
      </c>
      <c r="C451" s="8" t="inlineStr">
        <is>
          <t>成長・カウンター</t>
        </is>
      </c>
      <c r="D451" s="9" t="inlineStr">
        <is>
          <t>順応を行う</t>
        </is>
      </c>
      <c r="E451" s="10" t="inlineStr">
        <is>
          <t>Adapt</t>
        </is>
      </c>
      <c r="F451" s="7" t="inlineStr">
        <is>
          <t>701.46</t>
        </is>
      </c>
      <c r="G451" s="10" t="inlineStr">
        <is>
          <t>+1/+1カウンターが置かれていなければ、それをN個置くこと。</t>
        </is>
      </c>
      <c r="H451" s="8" t="inlineStr">
        <is>
          <t>ラヴニカの献身 (2019)</t>
        </is>
      </c>
      <c r="I451" s="8" t="inlineStr">
        <is>
          <t>強化スタックが0の時だけ+Nされる。重ね掛けできない分、強化値を高めに設定でき、ポイント計算もしやすい。</t>
        </is>
      </c>
      <c r="J451" s="11" t="inlineStr">
        <is>
          <t>高</t>
        </is>
      </c>
      <c r="K451" s="8" t="inlineStr">
        <is>
          <t>カウンター</t>
        </is>
      </c>
      <c r="L451" s="12" t="inlineStr">
        <is>
          <t>◎</t>
        </is>
      </c>
      <c r="M451" s="13" t="inlineStr">
        <is>
          <t>【今回実装：鍛錬】今回の要素で作れる：鍛錬＋条件</t>
        </is>
      </c>
    </row>
    <row r="452" ht="33" customHeight="1">
      <c r="A452" s="7" t="n">
        <v>451</v>
      </c>
      <c r="B452" s="8" t="inlineStr">
        <is>
          <t>キーワード処理</t>
        </is>
      </c>
      <c r="C452" s="8" t="inlineStr">
        <is>
          <t>展開・トークン</t>
        </is>
      </c>
      <c r="D452" s="9" t="inlineStr">
        <is>
          <t>動員を行う</t>
        </is>
      </c>
      <c r="E452" s="10" t="inlineStr">
        <is>
          <t>Amass</t>
        </is>
      </c>
      <c r="F452" s="7" t="inlineStr">
        <is>
          <t>701.47</t>
        </is>
      </c>
      <c r="G452" s="8" t="inlineStr">
        <is>
          <t>軍団トークンがなければ0/0で生成し、その軍団に+1/+1カウンターをN個置く。</t>
        </is>
      </c>
      <c r="H452" s="8" t="inlineStr">
        <is>
          <t>灯争大戦 (2019)</t>
        </is>
      </c>
      <c r="I452" s="8" t="inlineStr">
        <is>
          <t>「軍団」1体に力を集めて育てる。複数のカードが同じ1体を強化するので、盤面を単純に保ちながら育成の手応えを出せる。</t>
        </is>
      </c>
      <c r="J452" s="11" t="inlineStr">
        <is>
          <t>高</t>
        </is>
      </c>
      <c r="K452" s="8" t="inlineStr">
        <is>
          <t>トークン・カウンター</t>
        </is>
      </c>
      <c r="L452" s="12" t="inlineStr">
        <is>
          <t>◎</t>
        </is>
      </c>
      <c r="M452" s="13" t="inlineStr">
        <is>
          <t>【今回実装：効果『動員』（軍団トークン）（`amass`・バッチB）】（審査時は○）効果『動員』：『軍団』トークンが無ければ出し、攻撃力/体力+N。トークン前提</t>
        </is>
      </c>
    </row>
    <row r="453" ht="45.5" customHeight="1">
      <c r="A453" s="7" t="n">
        <v>452</v>
      </c>
      <c r="B453" s="8" t="inlineStr">
        <is>
          <t>キーワード処理</t>
        </is>
      </c>
      <c r="C453" s="8" t="inlineStr">
        <is>
          <t>デッキ構築</t>
        </is>
      </c>
      <c r="D453" s="9" t="inlineStr">
        <is>
          <t>履修を行う</t>
        </is>
      </c>
      <c r="E453" s="10" t="inlineStr">
        <is>
          <t>Learn</t>
        </is>
      </c>
      <c r="F453" s="7" t="inlineStr">
        <is>
          <t>701.48</t>
        </is>
      </c>
      <c r="G453" s="8" t="inlineStr">
        <is>
          <t>ゲーム外から講義カードを手札に加えるか、手札1枚を捨てて1枚引くかを選ぶ。</t>
        </is>
      </c>
      <c r="H453" s="8" t="inlineStr">
        <is>
          <t>ストリクスヘイヴン：魔法学院 (2021)</t>
        </is>
      </c>
      <c r="I453" s="8" t="inlineStr">
        <is>
          <t>デッキ外のサイドプールから指定タイプのカードを1枚獲得する。StSのカード報酬を戦闘中に行うイメージで、プール編成も戦略になる。</t>
        </is>
      </c>
      <c r="J453" s="11" t="inlineStr">
        <is>
          <t>中</t>
        </is>
      </c>
      <c r="K453" s="8" t="inlineStr">
        <is>
          <t>サイドプール</t>
        </is>
      </c>
      <c r="L453" s="12" t="inlineStr">
        <is>
          <t>×</t>
        </is>
      </c>
      <c r="M453" s="13" t="inlineStr">
        <is>
          <t>サイドプール前提</t>
        </is>
      </c>
    </row>
    <row r="454" ht="33" customHeight="1">
      <c r="A454" s="7" t="n">
        <v>453</v>
      </c>
      <c r="B454" s="8" t="inlineStr">
        <is>
          <t>キーワード処理</t>
        </is>
      </c>
      <c r="C454" s="8" t="inlineStr">
        <is>
          <t>成長・カウンター</t>
        </is>
      </c>
      <c r="D454" s="9" t="inlineStr">
        <is>
          <t>ダンジョン探索をする</t>
        </is>
      </c>
      <c r="E454" s="10" t="inlineStr">
        <is>
          <t>Venture into the dungeon</t>
        </is>
      </c>
      <c r="F454" s="7" t="inlineStr">
        <is>
          <t>701.49</t>
        </is>
      </c>
      <c r="G454" s="8" t="inlineStr">
        <is>
          <t>ダンジョン・カードの部屋を1つ進んで、その部屋の効果を得る。最後の部屋まで進むと踏破となる。</t>
        </is>
      </c>
      <c r="H454" s="8" t="inlineStr">
        <is>
          <t>フォーゴトン・レルム探訪 (2021)</t>
        </is>
      </c>
      <c r="I454" s="8" t="inlineStr">
        <is>
          <t>戦闘中に進む分岐マップ。特定のカードで1マス進み、分岐ごとに報酬を選ぶ。StSのマップを戦闘内に縮めた成長ギミック。</t>
        </is>
      </c>
      <c r="J454" s="11" t="inlineStr">
        <is>
          <t>中</t>
        </is>
      </c>
      <c r="K454" s="8" t="inlineStr">
        <is>
          <t>進行トラック</t>
        </is>
      </c>
      <c r="L454" s="12" t="inlineStr">
        <is>
          <t>×</t>
        </is>
      </c>
      <c r="M454" s="13" t="inlineStr">
        <is>
          <t>ダンジョン進行トラック前提</t>
        </is>
      </c>
    </row>
    <row r="455" ht="33" customHeight="1">
      <c r="A455" s="7" t="n">
        <v>454</v>
      </c>
      <c r="B455" s="8" t="inlineStr">
        <is>
          <t>キーワード処理</t>
        </is>
      </c>
      <c r="C455" s="8" t="inlineStr">
        <is>
          <t>ドロー・手札</t>
        </is>
      </c>
      <c r="D455" s="9" t="inlineStr">
        <is>
          <t>謀議する</t>
        </is>
      </c>
      <c r="E455" s="10" t="inlineStr">
        <is>
          <t>Connive</t>
        </is>
      </c>
      <c r="F455" s="7" t="inlineStr">
        <is>
          <t>701.50</t>
        </is>
      </c>
      <c r="G455" s="10" t="inlineStr">
        <is>
          <t>1枚引いて1枚捨て、捨てたカードが土地以外ならそのパーマネントに+1/+1カウンターを置く。</t>
        </is>
      </c>
      <c r="H455" s="8" t="inlineStr">
        <is>
          <t>ニューカペナの街角 (2022)</t>
        </is>
      </c>
      <c r="I455" s="8" t="inlineStr">
        <is>
          <t>引いて捨てる手札整理に、資源以外を捨てたら自身を強化する報酬を加える。捨て札を参照するデッキと組むと価値が上がる。</t>
        </is>
      </c>
      <c r="J455" s="11" t="inlineStr">
        <is>
          <t>高</t>
        </is>
      </c>
      <c r="K455" s="8" t="inlineStr">
        <is>
          <t>手札・捨て札</t>
        </is>
      </c>
      <c r="L455" s="12" t="inlineStr">
        <is>
          <t>◎</t>
        </is>
      </c>
      <c r="M455" s="13" t="inlineStr">
        <is>
          <t>【今回実装：手札整理】今回実装 効果『手札整理』loot：N枚引き、手札を1枚選んで捨てる</t>
        </is>
      </c>
    </row>
    <row r="456" ht="26" customHeight="1">
      <c r="A456" s="7" t="n">
        <v>455</v>
      </c>
      <c r="B456" s="8" t="inlineStr">
        <is>
          <t>キーワード処理</t>
        </is>
      </c>
      <c r="C456" s="8" t="inlineStr">
        <is>
          <t>展開・トークン</t>
        </is>
      </c>
      <c r="D456" s="9" t="inlineStr">
        <is>
          <t>アトラクションを開く（非公式訳）</t>
        </is>
      </c>
      <c r="E456" s="10" t="inlineStr">
        <is>
          <t>Open an Attraction</t>
        </is>
      </c>
      <c r="F456" s="7" t="inlineStr">
        <is>
          <t>701.51</t>
        </is>
      </c>
      <c r="G456" s="8" t="inlineStr">
        <is>
          <t>銀枠セットの処理で、専用のアトラクション・デッキの一番上を戦場に出すこと。</t>
        </is>
      </c>
      <c r="H456" s="8" t="inlineStr">
        <is>
          <t>アンフィニティ (2022)</t>
        </is>
      </c>
      <c r="I456" s="8" t="inlineStr">
        <is>
          <t>副デッキから施設カードを場に開き、毎ターン乱数で起動する。メインデッキとは別枠の成長要素になる。</t>
        </is>
      </c>
      <c r="J456" s="11" t="inlineStr">
        <is>
          <t>中</t>
        </is>
      </c>
      <c r="K456" s="8" t="inlineStr">
        <is>
          <t>副デッキ</t>
        </is>
      </c>
      <c r="L456" s="12" t="inlineStr">
        <is>
          <t>×</t>
        </is>
      </c>
      <c r="M456" s="13" t="inlineStr">
        <is>
          <t>副デッキ前提</t>
        </is>
      </c>
    </row>
    <row r="457" ht="39" customHeight="1">
      <c r="A457" s="7" t="n">
        <v>456</v>
      </c>
      <c r="B457" s="8" t="inlineStr">
        <is>
          <t>キーワード処理</t>
        </is>
      </c>
      <c r="C457" s="8" t="inlineStr">
        <is>
          <t>条件ボーナス</t>
        </is>
      </c>
      <c r="D457" s="9" t="inlineStr">
        <is>
          <t>アトラクションを観覧するためサイコロを振る（非公式訳）</t>
        </is>
      </c>
      <c r="E457" s="10" t="inlineStr">
        <is>
          <t>Roll to visit your Attractions</t>
        </is>
      </c>
      <c r="F457" s="7" t="inlineStr">
        <is>
          <t>701.52</t>
        </is>
      </c>
      <c r="G457" s="10" t="inlineStr">
        <is>
          <t>6面ダイスを振り、出目が点灯しているアトラクションの観覧能力を誘発させる。</t>
        </is>
      </c>
      <c r="H457" s="8" t="inlineStr">
        <is>
          <t>アンフィニティ (2022)</t>
        </is>
      </c>
      <c r="I457" s="8" t="inlineStr">
        <is>
          <t>ターン開始時にダイスを振り、出目に対応した施設が発動する。デジタルなら乱数の演出が容易で、対応する出目の数でポイントを決められる。</t>
        </is>
      </c>
      <c r="J457" s="11" t="inlineStr">
        <is>
          <t>高</t>
        </is>
      </c>
      <c r="K457" s="8" t="inlineStr">
        <is>
          <t>乱数</t>
        </is>
      </c>
      <c r="L457" s="12" t="inlineStr">
        <is>
          <t>×</t>
        </is>
      </c>
      <c r="M457" s="13" t="inlineStr">
        <is>
          <t>ダイス・施設前提。ランダム対象で足りる</t>
        </is>
      </c>
    </row>
    <row r="458" ht="37.5" customHeight="1">
      <c r="A458" s="7" t="n">
        <v>457</v>
      </c>
      <c r="B458" s="8" t="inlineStr">
        <is>
          <t>キーワード処理</t>
        </is>
      </c>
      <c r="C458" s="8" t="inlineStr">
        <is>
          <t>展開・トークン</t>
        </is>
      </c>
      <c r="D458" s="9" t="inlineStr">
        <is>
          <t>培養を行う</t>
        </is>
      </c>
      <c r="E458" s="10" t="inlineStr">
        <is>
          <t>Incubate</t>
        </is>
      </c>
      <c r="F458" s="7" t="inlineStr">
        <is>
          <t>701.53</t>
        </is>
      </c>
      <c r="G458" s="10" t="inlineStr">
        <is>
          <t>+1/+1カウンターN個付きのインキュベーター・トークンを出す。後でマナを払うとクリーチャーに変わる。</t>
        </is>
      </c>
      <c r="H458" s="8" t="inlineStr">
        <is>
          <t>機械兵団の進軍 (2023)</t>
        </is>
      </c>
      <c r="I458" s="8" t="inlineStr">
        <is>
          <t>「卵」を生成し、後でエネルギーを払うと孵化してミニオンになる。即時展開より安いポイントで、先への投資カードとして使える。</t>
        </is>
      </c>
      <c r="J458" s="11" t="inlineStr">
        <is>
          <t>中</t>
        </is>
      </c>
      <c r="K458" s="8" t="inlineStr">
        <is>
          <t>トークン・変身</t>
        </is>
      </c>
      <c r="L458" s="12" t="inlineStr">
        <is>
          <t>△</t>
        </is>
      </c>
      <c r="M458" s="13" t="inlineStr">
        <is>
          <t>『卵』トークン：2ターン後に孵化してモンスターに。遅延とトークンが揃えば</t>
        </is>
      </c>
    </row>
    <row r="459" ht="29" customHeight="1">
      <c r="A459" s="7" t="n">
        <v>458</v>
      </c>
      <c r="B459" s="8" t="inlineStr">
        <is>
          <t>キーワード処理</t>
        </is>
      </c>
      <c r="C459" s="8" t="inlineStr">
        <is>
          <t>成長・カウンター</t>
        </is>
      </c>
      <c r="D459" s="9" t="inlineStr">
        <is>
          <t>指輪があなたを誘惑する</t>
        </is>
      </c>
      <c r="E459" s="10" t="inlineStr">
        <is>
          <t>The Ring tempts you</t>
        </is>
      </c>
      <c r="F459" s="7" t="inlineStr">
        <is>
          <t>701.54</t>
        </is>
      </c>
      <c r="G459" s="8" t="inlineStr">
        <is>
          <t>指輪の紋章を得て指輪所持者を選ぶ。誘惑されるたびに所持者が段階的に能力を得る。</t>
        </is>
      </c>
      <c r="H459" s="8" t="inlineStr">
        <is>
          <t>指輪物語：中つ国の伝承 (2023)</t>
        </is>
      </c>
      <c r="I459" s="8" t="inlineStr">
        <is>
          <t>複数のカードで共有する段階式パワーアップ。誘惑の回数に応じて4段階で能力が増え、選んだユニットに付与される。</t>
        </is>
      </c>
      <c r="J459" s="11" t="inlineStr">
        <is>
          <t>中</t>
        </is>
      </c>
      <c r="K459" s="8" t="inlineStr">
        <is>
          <t>段階トラック</t>
        </is>
      </c>
      <c r="L459" s="12" t="inlineStr">
        <is>
          <t>×</t>
        </is>
      </c>
      <c r="M459" s="13" t="inlineStr">
        <is>
          <t>段階トラック・指輪専用</t>
        </is>
      </c>
    </row>
    <row r="460" ht="29" customHeight="1">
      <c r="A460" s="7" t="n">
        <v>459</v>
      </c>
      <c r="B460" s="8" t="inlineStr">
        <is>
          <t>キーワード処理</t>
        </is>
      </c>
      <c r="C460" s="8" t="inlineStr">
        <is>
          <t>妨害</t>
        </is>
      </c>
      <c r="D460" s="9" t="inlineStr">
        <is>
          <t>最悪の二択を行う</t>
        </is>
      </c>
      <c r="E460" s="10" t="inlineStr">
        <is>
          <t>Face a villainous choice</t>
        </is>
      </c>
      <c r="F460" s="7" t="inlineStr">
        <is>
          <t>701.55</t>
        </is>
      </c>
      <c r="G460" s="8" t="inlineStr">
        <is>
          <t>対戦相手が、提示された2つの不利な選択肢のどちらかを選ばされる。</t>
        </is>
      </c>
      <c r="H460" s="8" t="inlineStr">
        <is>
          <t>ドクター・フー (2023)</t>
        </is>
      </c>
      <c r="I460" s="8" t="inlineStr">
        <is>
          <t>相手に2つの不利益から選ばせる。相手は軽い方を選ぶ前提で、軽い方の価値を基準にポイントを計算するとよい。</t>
        </is>
      </c>
      <c r="J460" s="11" t="inlineStr">
        <is>
          <t>高</t>
        </is>
      </c>
      <c r="K460" s="8" t="inlineStr">
        <is>
          <t>選択UI</t>
        </is>
      </c>
      <c r="L460" s="12" t="inlineStr">
        <is>
          <t>△</t>
        </is>
      </c>
      <c r="M460" s="13" t="inlineStr">
        <is>
          <t>相手が2つの不利益から選ぶ。相手側選択UIとCPUの選び方が要る</t>
        </is>
      </c>
    </row>
    <row r="461" ht="41.5" customHeight="1">
      <c r="A461" s="7" t="n">
        <v>460</v>
      </c>
      <c r="B461" s="8" t="inlineStr">
        <is>
          <t>キーワード処理</t>
        </is>
      </c>
      <c r="C461" s="8" t="inlineStr">
        <is>
          <t>成長・カウンター</t>
        </is>
      </c>
      <c r="D461" s="9" t="inlineStr">
        <is>
          <t>タイムトラベルを行う</t>
        </is>
      </c>
      <c r="E461" s="10" t="inlineStr">
        <is>
          <t>Time travel</t>
        </is>
      </c>
      <c r="F461" s="7" t="inlineStr">
        <is>
          <t>701.56</t>
        </is>
      </c>
      <c r="G461" s="8" t="inlineStr">
        <is>
          <t>時間カウンターが置かれた自分のパーマネントや待機中のカードを選び、それぞれ時間カウンターを1つ増減する。</t>
        </is>
      </c>
      <c r="H461" s="8" t="inlineStr">
        <is>
          <t>ドクター・フー (2023)</t>
        </is>
      </c>
      <c r="I461" s="8" t="inlineStr">
        <is>
          <t>「Nターン後に発動」系カードのカウントを任意に±1する。遅延効果を早めたり、デメリット付きの効果を遅らせたりする調整に使える。</t>
        </is>
      </c>
      <c r="J461" s="11" t="inlineStr">
        <is>
          <t>高</t>
        </is>
      </c>
      <c r="K461" s="8" t="inlineStr">
        <is>
          <t>時限カウンター</t>
        </is>
      </c>
      <c r="L461" s="12" t="inlineStr">
        <is>
          <t>×</t>
        </is>
      </c>
      <c r="M461" s="13" t="inlineStr">
        <is>
          <t>時間カウンター前提</t>
        </is>
      </c>
    </row>
    <row r="462" ht="33" customHeight="1">
      <c r="A462" s="7" t="n">
        <v>461</v>
      </c>
      <c r="B462" s="8" t="inlineStr">
        <is>
          <t>キーワード処理</t>
        </is>
      </c>
      <c r="C462" s="8" t="inlineStr">
        <is>
          <t>反復・再利用</t>
        </is>
      </c>
      <c r="D462" s="9" t="inlineStr">
        <is>
          <t>発見を行う</t>
        </is>
      </c>
      <c r="E462" s="10" t="inlineStr">
        <is>
          <t>Discover</t>
        </is>
      </c>
      <c r="F462" s="7" t="inlineStr">
        <is>
          <t>701.57</t>
        </is>
      </c>
      <c r="G462" s="8" t="inlineStr">
        <is>
          <t>ライブラリーを上からめくり、マナ総量N以下の土地でないカードが出たら無料で唱えるか手札に加える。</t>
        </is>
      </c>
      <c r="H462" s="8" t="inlineStr">
        <is>
          <t>イクサラン：失われし洞窟 (2023)</t>
        </is>
      </c>
      <c r="I462" s="8" t="inlineStr">
        <is>
          <t>山札からコストN以下のカードを無作為に見つけて無料で使う。宝探しの演出に向き、Nの大きさでポイントが決まる。</t>
        </is>
      </c>
      <c r="J462" s="11" t="inlineStr">
        <is>
          <t>高</t>
        </is>
      </c>
      <c r="K462" s="8" t="inlineStr">
        <is>
          <t>山札・コスト値</t>
        </is>
      </c>
      <c r="L462" s="12" t="inlineStr">
        <is>
          <t>◎</t>
        </is>
      </c>
      <c r="M462" s="13" t="inlineStr">
        <is>
          <t>【今回実装：効果『続唱』（コストN以下を無料で使う。発見を統合）（`cascade`・バッチB）】（審査時は○）効果『発見』：山札からコストN以下を1枚ランダムに無料で使う。対象選択の流れが要る</t>
        </is>
      </c>
    </row>
    <row r="463" ht="29" customHeight="1">
      <c r="A463" s="7" t="n">
        <v>462</v>
      </c>
      <c r="B463" s="8" t="inlineStr">
        <is>
          <t>キーワード処理</t>
        </is>
      </c>
      <c r="C463" s="8" t="inlineStr">
        <is>
          <t>回避</t>
        </is>
      </c>
      <c r="D463" s="9" t="inlineStr">
        <is>
          <t>偽装する</t>
        </is>
      </c>
      <c r="E463" s="10" t="inlineStr">
        <is>
          <t>Cloak</t>
        </is>
      </c>
      <c r="F463" s="7" t="inlineStr">
        <is>
          <t>701.58</t>
        </is>
      </c>
      <c r="G463" s="8" t="inlineStr">
        <is>
          <t>カードを裏向きの2/2護法{2}クリーチャーとして戦場に出す。クリーチャーなら表向きにできる。</t>
        </is>
      </c>
      <c r="H463" s="8" t="inlineStr">
        <is>
          <t>カルロフ邸殺人事件 (2024)</t>
        </is>
      </c>
      <c r="I463" s="8" t="inlineStr">
        <is>
          <t>予示の強化版。正体を隠したミニオンに一時的な除去耐性を付ける。隠し情報と耐性をセットにしてポイント化する。</t>
        </is>
      </c>
      <c r="J463" s="11" t="inlineStr">
        <is>
          <t>中</t>
        </is>
      </c>
      <c r="K463" s="8" t="inlineStr">
        <is>
          <t>裏向き状態</t>
        </is>
      </c>
      <c r="L463" s="12" t="inlineStr">
        <is>
          <t>×</t>
        </is>
      </c>
      <c r="M463" s="13" t="inlineStr">
        <is>
          <t>裏向き＋護法前提</t>
        </is>
      </c>
    </row>
    <row r="464" ht="29" customHeight="1">
      <c r="A464" s="7" t="n">
        <v>463</v>
      </c>
      <c r="B464" s="8" t="inlineStr">
        <is>
          <t>キーワード処理</t>
        </is>
      </c>
      <c r="C464" s="8" t="inlineStr">
        <is>
          <t>墓地利用</t>
        </is>
      </c>
      <c r="D464" s="9" t="inlineStr">
        <is>
          <t>証拠収集を行う</t>
        </is>
      </c>
      <c r="E464" s="10" t="inlineStr">
        <is>
          <t>Collect evidence</t>
        </is>
      </c>
      <c r="F464" s="7" t="inlineStr">
        <is>
          <t>701.59</t>
        </is>
      </c>
      <c r="G464" s="8" t="inlineStr">
        <is>
          <t>自分の墓地から、マナ総量の合計がN以上になるようにカードを追放すること。主にコストとして使う。</t>
        </is>
      </c>
      <c r="H464" s="8" t="inlineStr">
        <is>
          <t>カルロフ邸殺人事件 (2024)</t>
        </is>
      </c>
      <c r="I464" s="8" t="inlineStr">
        <is>
          <t>捨て札からコスト合計N分のカードを廃棄して追加効果を得る。捨て札を資源にしつつ、デッキ圧縮も進む。</t>
        </is>
      </c>
      <c r="J464" s="11" t="inlineStr">
        <is>
          <t>高</t>
        </is>
      </c>
      <c r="K464" s="8" t="inlineStr">
        <is>
          <t>捨て札・廃棄</t>
        </is>
      </c>
      <c r="L464" s="12" t="inlineStr">
        <is>
          <t>◎</t>
        </is>
      </c>
      <c r="M464" s="13" t="inlineStr">
        <is>
          <t>【今回実装：デメリット『捨て札の除外』（コスト合計＝証拠収集）（`exileDiscard`・バッチA）】（審査時は○）追加コスト『証拠収集』：捨て札からコスト合計N以上を除外して追加効果。条件の一種</t>
        </is>
      </c>
    </row>
    <row r="465" ht="29" customHeight="1">
      <c r="A465" s="7" t="n">
        <v>464</v>
      </c>
      <c r="B465" s="8" t="inlineStr">
        <is>
          <t>キーワード処理</t>
        </is>
      </c>
      <c r="C465" s="8" t="inlineStr">
        <is>
          <t>攻撃</t>
        </is>
      </c>
      <c r="D465" s="9" t="inlineStr">
        <is>
          <t>容疑をかける</t>
        </is>
      </c>
      <c r="E465" s="10" t="inlineStr">
        <is>
          <t>Suspect</t>
        </is>
      </c>
      <c r="F465" s="7" t="inlineStr">
        <is>
          <t>701.60</t>
        </is>
      </c>
      <c r="G465" s="8" t="inlineStr">
        <is>
          <t>クリーチャーを容疑者にする。容疑者は威迫を持ち、ブロックできなくなる。</t>
        </is>
      </c>
      <c r="H465" s="8" t="inlineStr">
        <is>
          <t>カルロフ邸殺人事件 (2024)</t>
        </is>
      </c>
      <c r="I465" s="8" t="inlineStr">
        <is>
          <t>「攻撃は通りやすいが防御に加われない」状態を付与する。味方ならアタッカー化、敵に付ければ守りを崩す二面性がある。</t>
        </is>
      </c>
      <c r="J465" s="11" t="inlineStr">
        <is>
          <t>高</t>
        </is>
      </c>
      <c r="K465" s="8" t="inlineStr">
        <is>
          <t>攻撃・ブロック</t>
        </is>
      </c>
      <c r="L465" s="12" t="inlineStr">
        <is>
          <t>△</t>
        </is>
      </c>
      <c r="M465" s="13" t="inlineStr">
        <is>
          <t>#193と同じ。『反撃しない代わりに攻撃力+N』に変形</t>
        </is>
      </c>
    </row>
    <row r="466" ht="41.5" customHeight="1">
      <c r="A466" s="7" t="n">
        <v>465</v>
      </c>
      <c r="B466" s="8" t="inlineStr">
        <is>
          <t>キーワード処理</t>
        </is>
      </c>
      <c r="C466" s="8" t="inlineStr">
        <is>
          <t>墓地利用</t>
        </is>
      </c>
      <c r="D466" s="9" t="inlineStr">
        <is>
          <t>給餌する</t>
        </is>
      </c>
      <c r="E466" s="10" t="inlineStr">
        <is>
          <t>Forage</t>
        </is>
      </c>
      <c r="F466" s="7" t="inlineStr">
        <is>
          <t>701.61</t>
        </is>
      </c>
      <c r="G466" s="8" t="inlineStr">
        <is>
          <t>自分の墓地からカード3枚を追放するか、食物1つを生け贄に捧げること。主にコストとして使う。</t>
        </is>
      </c>
      <c r="H466" s="8" t="inlineStr">
        <is>
          <t>ブルームバロウ (2024)</t>
        </is>
      </c>
      <c r="I466" s="8" t="inlineStr">
        <is>
          <t>「捨て札3枚を廃棄」か「消費アイテム1個」のどちらかで払うコスト。支払い手段が複数あるので詰まりにくい追加コストになる。</t>
        </is>
      </c>
      <c r="J466" s="11" t="inlineStr">
        <is>
          <t>高</t>
        </is>
      </c>
      <c r="K466" s="8" t="inlineStr">
        <is>
          <t>捨て札・廃棄</t>
        </is>
      </c>
      <c r="L466" s="12" t="inlineStr">
        <is>
          <t>◎</t>
        </is>
      </c>
      <c r="M466" s="13" t="inlineStr">
        <is>
          <t>【今回実装：デメリット『捨て札の除外』（枚数＝給餌）（`exileDiscard`・バッチA）】（審査時は○）追加コスト『捨て札3枚を除外』（給餌）。#463と同じ枠</t>
        </is>
      </c>
    </row>
    <row r="467" ht="33" customHeight="1">
      <c r="A467" s="7" t="n">
        <v>466</v>
      </c>
      <c r="B467" s="8" t="inlineStr">
        <is>
          <t>キーワード処理</t>
        </is>
      </c>
      <c r="C467" s="8" t="inlineStr">
        <is>
          <t>展開・トークン</t>
        </is>
      </c>
      <c r="D467" s="9" t="inlineStr">
        <is>
          <t>戦慄予示する</t>
        </is>
      </c>
      <c r="E467" s="10" t="inlineStr">
        <is>
          <t>Manifest dread</t>
        </is>
      </c>
      <c r="F467" s="7" t="inlineStr">
        <is>
          <t>701.62</t>
        </is>
      </c>
      <c r="G467" s="8" t="inlineStr">
        <is>
          <t>ライブラリーの上2枚を見て、1枚を裏向きの2/2で出し、もう1枚を墓地に置く。</t>
        </is>
      </c>
      <c r="H467" s="8" t="inlineStr">
        <is>
          <t>ダスクモーン：戦慄の館 (2024)</t>
        </is>
      </c>
      <c r="I467" s="10" t="inlineStr">
        <is>
          <t>2枚から1枚を選んで伏せミニオンにする。予示より選択の余地があり、残りは捨て札へ行くので捨て札戦略とも噛み合う。</t>
        </is>
      </c>
      <c r="J467" s="11" t="inlineStr">
        <is>
          <t>中</t>
        </is>
      </c>
      <c r="K467" s="8" t="inlineStr">
        <is>
          <t>裏向き状態</t>
        </is>
      </c>
      <c r="L467" s="12" t="inlineStr">
        <is>
          <t>×</t>
        </is>
      </c>
      <c r="M467" s="13" t="inlineStr">
        <is>
          <t>裏向き状態前提</t>
        </is>
      </c>
    </row>
    <row r="468" ht="33" customHeight="1">
      <c r="A468" s="7" t="n">
        <v>467</v>
      </c>
      <c r="B468" s="8" t="inlineStr">
        <is>
          <t>キーワード処理</t>
        </is>
      </c>
      <c r="C468" s="8" t="inlineStr">
        <is>
          <t>成長・カウンター</t>
        </is>
      </c>
      <c r="D468" s="9" t="inlineStr">
        <is>
          <t>闘魂を行う</t>
        </is>
      </c>
      <c r="E468" s="10" t="inlineStr">
        <is>
          <t>Endure</t>
        </is>
      </c>
      <c r="F468" s="7" t="inlineStr">
        <is>
          <t>701.63</t>
        </is>
      </c>
      <c r="G468" s="8" t="inlineStr">
        <is>
          <t>そのパーマネントに+1/+1カウンターをN個置くか、N/Nのスピリット・トークンを生成するかを選ぶ。</t>
        </is>
      </c>
      <c r="H468" s="8" t="inlineStr">
        <is>
          <t>タルキール：龍嵐録 (2025)</t>
        </is>
      </c>
      <c r="I468" s="8" t="inlineStr">
        <is>
          <t>「自身を+N強化」か「N/Nミニオン生成」を状況で選ぶ。除去されそうなら分散、安全なら集中という判断が生まれる。</t>
        </is>
      </c>
      <c r="J468" s="11" t="inlineStr">
        <is>
          <t>高</t>
        </is>
      </c>
      <c r="K468" s="8" t="inlineStr">
        <is>
          <t>トークン・カウンター</t>
        </is>
      </c>
      <c r="L468" s="12" t="inlineStr">
        <is>
          <t>△</t>
        </is>
      </c>
      <c r="M468" s="13" t="inlineStr">
        <is>
          <t>鍛錬かトークン生成を選ぶ。選択式は二択UIが要る</t>
        </is>
      </c>
    </row>
    <row r="469" ht="29" customHeight="1">
      <c r="A469" s="7" t="n">
        <v>468</v>
      </c>
      <c r="B469" s="8" t="inlineStr">
        <is>
          <t>キーワード処理</t>
        </is>
      </c>
      <c r="C469" s="8" t="inlineStr">
        <is>
          <t>条件ボーナス</t>
        </is>
      </c>
      <c r="D469" s="9" t="inlineStr">
        <is>
          <t>装着する</t>
        </is>
      </c>
      <c r="E469" s="10" t="inlineStr">
        <is>
          <t>Harness</t>
        </is>
      </c>
      <c r="F469" s="7" t="inlineStr">
        <is>
          <t>701.64</t>
        </is>
      </c>
      <c r="G469" s="8" t="inlineStr">
        <is>
          <t>パーマネントを装着済にする。それ自体に効果はなく、∞能力などの解禁条件として参照される。</t>
        </is>
      </c>
      <c r="H469" s="8" t="inlineStr">
        <is>
          <t>マーベル スパイダーマン (2025)</t>
        </is>
      </c>
      <c r="I469" s="8" t="inlineStr">
        <is>
          <t>エネルギーを払ってアイテムを「起動済」にすると隠し能力が解禁される。解禁前後の性能差からポイントを計算する。</t>
        </is>
      </c>
      <c r="J469" s="11" t="inlineStr">
        <is>
          <t>高</t>
        </is>
      </c>
      <c r="K469" s="8" t="inlineStr">
        <is>
          <t>状態フラグ</t>
        </is>
      </c>
      <c r="L469" s="12" t="inlineStr">
        <is>
          <t>×</t>
        </is>
      </c>
      <c r="M469" s="13" t="inlineStr">
        <is>
          <t>解禁フラグの価値が薄い</t>
        </is>
      </c>
    </row>
    <row r="470" ht="41.5" customHeight="1">
      <c r="A470" s="7" t="n">
        <v>469</v>
      </c>
      <c r="B470" s="8" t="inlineStr">
        <is>
          <t>キーワード処理</t>
        </is>
      </c>
      <c r="C470" s="8" t="inlineStr">
        <is>
          <t>妨害</t>
        </is>
      </c>
      <c r="D470" s="9" t="inlineStr">
        <is>
          <t>気の技を行う</t>
        </is>
      </c>
      <c r="E470" s="10" t="inlineStr">
        <is>
          <t>Airbend</t>
        </is>
      </c>
      <c r="F470" s="7" t="inlineStr">
        <is>
          <t>701.65</t>
        </is>
      </c>
      <c r="G470" s="8" t="inlineStr">
        <is>
          <t>パーマネントや呪文を追放する。オーナーはそのカードを{2}を払って唱え直せる。</t>
        </is>
      </c>
      <c r="H470" s="8" t="inlineStr">
        <is>
          <t>アバター 伝説の少年アン (2025)</t>
        </is>
      </c>
      <c r="I470" s="8" t="inlineStr">
        <is>
          <t>相手のカードを一時退場させ、再使用に固定コスト2を要求するテンポ妨害。相手の軽いカードには逆効果になる点も駆け引きになる。</t>
        </is>
      </c>
      <c r="J470" s="11" t="inlineStr">
        <is>
          <t>中</t>
        </is>
      </c>
      <c r="K470" s="8" t="inlineStr">
        <is>
          <t>廃棄・再使用</t>
        </is>
      </c>
      <c r="L470" s="12" t="inlineStr">
        <is>
          <t>×</t>
        </is>
      </c>
      <c r="M470" s="13" t="inlineStr">
        <is>
          <t>既存：バウンスと近い</t>
        </is>
      </c>
    </row>
    <row r="471" ht="41.5" customHeight="1">
      <c r="A471" s="7" t="n">
        <v>470</v>
      </c>
      <c r="B471" s="8" t="inlineStr">
        <is>
          <t>キーワード処理</t>
        </is>
      </c>
      <c r="C471" s="8" t="inlineStr">
        <is>
          <t>展開・トークン</t>
        </is>
      </c>
      <c r="D471" s="9" t="inlineStr">
        <is>
          <t>土の技を行う</t>
        </is>
      </c>
      <c r="E471" s="10" t="inlineStr">
        <is>
          <t>Earthbend</t>
        </is>
      </c>
      <c r="F471" s="7" t="inlineStr">
        <is>
          <t>701.66</t>
        </is>
      </c>
      <c r="G471" s="8" t="inlineStr">
        <is>
          <t>自分の土地を+1/+1カウンター付きの速攻クリーチャーにし、死亡すると土地としてタップ状態で戻る。</t>
        </is>
      </c>
      <c r="H471" s="8" t="inlineStr">
        <is>
          <t>アバター 伝説の少年アン (2025)</t>
        </is>
      </c>
      <c r="I471" s="8" t="inlineStr">
        <is>
          <t>資源カードを一時的に戦闘ユニット化する。倒されても資源として戻るので、リスクの小さい展開手段として設計できる。</t>
        </is>
      </c>
      <c r="J471" s="11" t="inlineStr">
        <is>
          <t>中</t>
        </is>
      </c>
      <c r="K471" s="8" t="inlineStr">
        <is>
          <t>資源カード</t>
        </is>
      </c>
      <c r="L471" s="12" t="inlineStr">
        <is>
          <t>×</t>
        </is>
      </c>
      <c r="M471" s="13" t="inlineStr">
        <is>
          <t>土地前提</t>
        </is>
      </c>
    </row>
    <row r="472" ht="29" customHeight="1">
      <c r="A472" s="7" t="n">
        <v>471</v>
      </c>
      <c r="B472" s="8" t="inlineStr">
        <is>
          <t>キーワード処理</t>
        </is>
      </c>
      <c r="C472" s="8" t="inlineStr">
        <is>
          <t>コスト・リソース</t>
        </is>
      </c>
      <c r="D472" s="9" t="inlineStr">
        <is>
          <t>水の技を行う</t>
        </is>
      </c>
      <c r="E472" s="10" t="inlineStr">
        <is>
          <t>Waterbend</t>
        </is>
      </c>
      <c r="F472" s="7" t="inlineStr">
        <is>
          <t>701.67</t>
        </is>
      </c>
      <c r="G472" s="8" t="inlineStr">
        <is>
          <t>コストの不特定マナ分を、自分のアーティファクトやクリーチャーをタップすることで代わりに払える。</t>
        </is>
      </c>
      <c r="H472" s="8" t="inlineStr">
        <is>
          <t>アバター 伝説の少年アン (2025)</t>
        </is>
      </c>
      <c r="I472" s="8" t="inlineStr">
        <is>
          <t>足りないエネルギーを、場のミニオンや装備を行動済みにして補う。盤面の資源をコストに変える柔軟な支払い手段。</t>
        </is>
      </c>
      <c r="J472" s="11" t="inlineStr">
        <is>
          <t>中</t>
        </is>
      </c>
      <c r="K472" s="8" t="inlineStr">
        <is>
          <t>行動済みフラグ</t>
        </is>
      </c>
      <c r="L472" s="12" t="inlineStr">
        <is>
          <t>◎</t>
        </is>
      </c>
      <c r="M472" s="13" t="inlineStr">
        <is>
          <t>【今回実装：効果『動力化』（`harness`・バッチB）】（審査時は○）効果『動力化』：自分のモンスター1体をこのターン攻撃不可にしてエナジー+1</t>
        </is>
      </c>
    </row>
    <row r="473" ht="29" customHeight="1">
      <c r="A473" s="7" t="n">
        <v>472</v>
      </c>
      <c r="B473" s="8" t="inlineStr">
        <is>
          <t>キーワード処理</t>
        </is>
      </c>
      <c r="C473" s="8" t="inlineStr">
        <is>
          <t>コスト・リソース</t>
        </is>
      </c>
      <c r="D473" s="9" t="inlineStr">
        <is>
          <t>枯朽を行う</t>
        </is>
      </c>
      <c r="E473" s="10" t="inlineStr">
        <is>
          <t>Blight</t>
        </is>
      </c>
      <c r="F473" s="7" t="inlineStr">
        <is>
          <t>701.68</t>
        </is>
      </c>
      <c r="G473" s="8" t="inlineStr">
        <is>
          <t>自分のクリーチャー1体を選び、-1/-1カウンターをN個置くこと。主にコストとして使う。</t>
        </is>
      </c>
      <c r="H473" s="8" t="inlineStr">
        <is>
          <t>ローウィンの昏明 (2026)</t>
        </is>
      </c>
      <c r="I473" s="8" t="inlineStr">
        <is>
          <t>味方ユニットに弱体化スタックを積んで追加効果を得る自傷コスト。弱体化を解除するカードとの往復でシナジーを作れる。</t>
        </is>
      </c>
      <c r="J473" s="11" t="inlineStr">
        <is>
          <t>高</t>
        </is>
      </c>
      <c r="K473" s="8" t="inlineStr">
        <is>
          <t>カウンター</t>
        </is>
      </c>
      <c r="L473" s="12" t="inlineStr">
        <is>
          <t>◎</t>
        </is>
      </c>
      <c r="M473" s="13" t="inlineStr">
        <is>
          <t>【今回実装：デメリット『枯朽』（`blight`・バッチA）】（審査時は○）次回：デメリット『枯朽』（衰弱の自分向け版）</t>
        </is>
      </c>
    </row>
    <row r="474" ht="29" customHeight="1">
      <c r="A474" s="7" t="n">
        <v>473</v>
      </c>
      <c r="B474" s="8" t="inlineStr">
        <is>
          <t>キーワード処理</t>
        </is>
      </c>
      <c r="C474" s="8" t="inlineStr">
        <is>
          <t>防御</t>
        </is>
      </c>
      <c r="D474" s="9" t="inlineStr">
        <is>
          <t>回復する</t>
        </is>
      </c>
      <c r="E474" s="10" t="inlineStr">
        <is>
          <t>Heal</t>
        </is>
      </c>
      <c r="F474" s="7" t="inlineStr">
        <is>
          <t>701.69</t>
        </is>
      </c>
      <c r="G474" s="8" t="inlineStr">
        <is>
          <t>パーマネントに負わされているダメージを取り除くこと。</t>
        </is>
      </c>
      <c r="H474" s="8" t="inlineStr">
        <is>
          <t>マーベル スーパー・ヒーローズ (2026)</t>
        </is>
      </c>
      <c r="I474" s="8" t="inlineStr">
        <is>
          <t>ユニットのダメージをリセットする。ターンをまたいでダメージが残る設計にすると、回復の価値がはっきり出る。</t>
        </is>
      </c>
      <c r="J474" s="11" t="inlineStr">
        <is>
          <t>高</t>
        </is>
      </c>
      <c r="K474" s="8" t="inlineStr">
        <is>
          <t>ユニットHP</t>
        </is>
      </c>
      <c r="L474" s="12" t="inlineStr">
        <is>
          <t>×</t>
        </is>
      </c>
      <c r="M474" s="13" t="inlineStr">
        <is>
          <t>既存：修理</t>
        </is>
      </c>
    </row>
    <row r="475" ht="29" customHeight="1">
      <c r="A475" s="7" t="n">
        <v>474</v>
      </c>
      <c r="B475" s="8" t="inlineStr">
        <is>
          <t>キーワード処理</t>
        </is>
      </c>
      <c r="C475" s="8" t="inlineStr">
        <is>
          <t>ドロー・手札</t>
        </is>
      </c>
      <c r="D475" s="9" t="inlineStr">
        <is>
          <t>徴募を行う</t>
        </is>
      </c>
      <c r="E475" s="10" t="inlineStr">
        <is>
          <t>Recruit</t>
        </is>
      </c>
      <c r="F475" s="7" t="inlineStr">
        <is>
          <t>701.70</t>
        </is>
      </c>
      <c r="G475" s="10" t="inlineStr">
        <is>
          <t>1枚引いて1枚捨て、捨てたカードが土地以外なら1/1の人間・兵士トークンを生成する。</t>
        </is>
      </c>
      <c r="H475" s="8" t="inlineStr">
        <is>
          <t>ホビット (2026)</t>
        </is>
      </c>
      <c r="I475" s="8" t="inlineStr">
        <is>
          <t>手札交換に、資源以外を捨てたら小さなミニオン生成を加える。謀議の展開版で、手札整理と盤面展開を同時にこなせる。</t>
        </is>
      </c>
      <c r="J475" s="11" t="inlineStr">
        <is>
          <t>高</t>
        </is>
      </c>
      <c r="K475" s="8" t="inlineStr">
        <is>
          <t>手札・トークン</t>
        </is>
      </c>
      <c r="L475" s="12" t="inlineStr">
        <is>
          <t>◎</t>
        </is>
      </c>
      <c r="M475" s="13" t="inlineStr">
        <is>
          <t>【今回実装：効果『徴募』（`recruit`・バッチB）】（審査時は○）効果『徴募』：謀議＋捨てたのがスキルなら1/1トークン。トークン前提</t>
        </is>
      </c>
    </row>
    <row r="476" ht="29" customHeight="1">
      <c r="A476" s="7" t="n">
        <v>475</v>
      </c>
      <c r="B476" s="8" t="inlineStr">
        <is>
          <t>キーワード処理</t>
        </is>
      </c>
      <c r="C476" s="8" t="inlineStr">
        <is>
          <t>成長・カウンター</t>
        </is>
      </c>
      <c r="D476" s="9" t="inlineStr">
        <is>
          <t>ジェイス付与を行う</t>
        </is>
      </c>
      <c r="E476" s="10" t="inlineStr">
        <is>
          <t>Empower Jace</t>
        </is>
      </c>
      <c r="F476" s="7" t="inlineStr">
        <is>
          <t>701.71</t>
        </is>
      </c>
      <c r="G476" s="8" t="inlineStr">
        <is>
          <t>ジェイスのプレインズウォーカー・トークンに忠誠カウンターを置く。なければ忠誠0で生成してから置く。</t>
        </is>
      </c>
      <c r="H476" s="8" t="inlineStr">
        <is>
          <t>リアリティ・フラクチャー (2026)</t>
        </is>
      </c>
      <c r="I476" s="8" t="inlineStr">
        <is>
          <t>共有の相棒トークンにポイントを貯め、その値を消費してスキルを使う。複数のカードが同じ相棒を育てる構造になる。</t>
        </is>
      </c>
      <c r="J476" s="11" t="inlineStr">
        <is>
          <t>中</t>
        </is>
      </c>
      <c r="K476" s="8" t="inlineStr">
        <is>
          <t>トークン・カウンター</t>
        </is>
      </c>
      <c r="L476" s="12" t="inlineStr">
        <is>
          <t>×</t>
        </is>
      </c>
      <c r="M476" s="13" t="inlineStr">
        <is>
          <t>特定キャラ専用</t>
        </is>
      </c>
    </row>
    <row r="477" ht="41.5" customHeight="1">
      <c r="A477" s="7" t="n">
        <v>476</v>
      </c>
      <c r="B477" s="8" t="inlineStr">
        <is>
          <t>キーワード処理</t>
        </is>
      </c>
      <c r="C477" s="8" t="inlineStr">
        <is>
          <t>妨害</t>
        </is>
      </c>
      <c r="D477" s="9" t="inlineStr">
        <is>
          <t>同化</t>
        </is>
      </c>
      <c r="E477" s="10" t="inlineStr">
        <is>
          <t>Assimilate</t>
        </is>
      </c>
      <c r="F477" s="7" t="n"/>
      <c r="G477" s="8" t="inlineStr">
        <is>
          <t>相手のクリーチャーを奪うか墓地から自軍に出し、+1/+1カウンターを置いてボーグのアーティファクトにする。</t>
        </is>
      </c>
      <c r="H477" s="8" t="inlineStr">
        <is>
          <t>スター・トレック (2026年11月発売予定)</t>
        </is>
      </c>
      <c r="I477" s="8" t="inlineStr">
        <is>
          <t>敵ユニットや相手の捨て札のカードを奪い、自陣営のタグに書き換える。デジタルならタグ変更が容易で、奪取系は高ポイント枠に置く。</t>
        </is>
      </c>
      <c r="J477" s="11" t="inlineStr">
        <is>
          <t>中</t>
        </is>
      </c>
      <c r="K477" s="8" t="inlineStr">
        <is>
          <t>ユニット・捨て札</t>
        </is>
      </c>
      <c r="L477" s="12" t="inlineStr">
        <is>
          <t>×</t>
        </is>
      </c>
      <c r="M477" s="13" t="inlineStr">
        <is>
          <t>既存：奪取・蘇生</t>
        </is>
      </c>
    </row>
    <row r="478" ht="45.5" customHeight="1">
      <c r="A478" s="7" t="n">
        <v>477</v>
      </c>
      <c r="B478" s="8" t="inlineStr">
        <is>
          <t>キーワード処理</t>
        </is>
      </c>
      <c r="C478" s="8" t="inlineStr">
        <is>
          <t>コスト・リソース</t>
        </is>
      </c>
      <c r="D478" s="9" t="inlineStr">
        <is>
          <t>食餌を行う（非公式訳）</t>
        </is>
      </c>
      <c r="E478" s="10" t="inlineStr">
        <is>
          <t>Gobble</t>
        </is>
      </c>
      <c r="F478" s="7" t="n"/>
      <c r="G478" s="8" t="inlineStr">
        <is>
          <t>銀枠のアンフィニティの処理で、食物を食べるか食物トークンを生け贄にして呪文の追加コストを払う。</t>
        </is>
      </c>
      <c r="H478" s="8" t="inlineStr">
        <is>
          <t>アンフィニティ (2022)</t>
        </is>
      </c>
      <c r="I478" s="8" t="inlineStr">
        <is>
          <t>消費アイテムをN個使って支払う追加コスト。アイテムを貯めるデッキの出口になり、アイテム1個の価値を基準に割引額を決める。</t>
        </is>
      </c>
      <c r="J478" s="11" t="inlineStr">
        <is>
          <t>高</t>
        </is>
      </c>
      <c r="K478" s="8" t="inlineStr">
        <is>
          <t>消費アイテム</t>
        </is>
      </c>
      <c r="L478" s="12" t="inlineStr">
        <is>
          <t>×</t>
        </is>
      </c>
      <c r="M478" s="13" t="inlineStr">
        <is>
          <t>食物（消費アイテム）前提</t>
        </is>
      </c>
    </row>
    <row r="479" ht="41.5" customHeight="1">
      <c r="A479" s="7" t="n">
        <v>478</v>
      </c>
      <c r="B479" s="8" t="inlineStr">
        <is>
          <t>キーワード処理</t>
        </is>
      </c>
      <c r="C479" s="8" t="inlineStr">
        <is>
          <t>除去</t>
        </is>
      </c>
      <c r="D479" s="9" t="inlineStr">
        <is>
          <t>埋葬する</t>
        </is>
      </c>
      <c r="E479" s="10" t="inlineStr">
        <is>
          <t>Bury</t>
        </is>
      </c>
      <c r="F479" s="7" t="n"/>
      <c r="G479" s="8" t="inlineStr">
        <is>
          <t>旧用語。パーマネントを再生できない形で墓地に置くこと。第6版期に廃止され破壊（再生不可）などに置換。</t>
        </is>
      </c>
      <c r="H479" s="8" t="inlineStr">
        <is>
          <t>リバイズド (1994)</t>
        </is>
      </c>
      <c r="I479" s="8" t="inlineStr">
        <is>
          <t>耐性を無視する確定除去。「破壊されない」持ちが多い環境ほど価値が上がるので、高レア・高コスト枠に置く。</t>
        </is>
      </c>
      <c r="J479" s="11" t="inlineStr">
        <is>
          <t>高</t>
        </is>
      </c>
      <c r="K479" s="8" t="inlineStr">
        <is>
          <t>場に残るカード</t>
        </is>
      </c>
      <c r="L479" s="12" t="inlineStr">
        <is>
          <t>×</t>
        </is>
      </c>
      <c r="M479" s="13" t="inlineStr">
        <is>
          <t>既存：処刑・全体破壊（破壊不能が無い）</t>
        </is>
      </c>
    </row>
    <row r="480" ht="33" customHeight="1">
      <c r="A480" s="7" t="n">
        <v>479</v>
      </c>
      <c r="B480" s="8" t="inlineStr">
        <is>
          <t>キーワード処理</t>
        </is>
      </c>
      <c r="C480" s="8" t="inlineStr">
        <is>
          <t>多人数・交流</t>
        </is>
      </c>
      <c r="D480" s="9" t="inlineStr">
        <is>
          <t>統治者になる</t>
        </is>
      </c>
      <c r="E480" s="10" t="inlineStr">
        <is>
          <t>Become the monarch</t>
        </is>
      </c>
      <c r="F480" s="7" t="inlineStr">
        <is>
          <t>725</t>
        </is>
      </c>
      <c r="G480" s="8" t="inlineStr">
        <is>
          <t>統治者の指定を得て終了時に1枚引く。統治者に戦闘ダメージを与えた者が奪う。総合ルール上は701外。</t>
        </is>
      </c>
      <c r="H480" s="8" t="inlineStr">
        <is>
          <t>コンスピラシー：王位争奪 (2016)</t>
        </is>
      </c>
      <c r="I480" s="8" t="inlineStr">
        <is>
          <t>保持中は毎ターン追加ドロー、本体にダメージを通されると奪われる「王冠」。PvPで攻めにいく理由を作れる。</t>
        </is>
      </c>
      <c r="J480" s="11" t="inlineStr">
        <is>
          <t>中</t>
        </is>
      </c>
      <c r="K480" s="8" t="inlineStr">
        <is>
          <t>本体へのダメージ</t>
        </is>
      </c>
      <c r="L480" s="12" t="inlineStr">
        <is>
          <t>◎</t>
        </is>
      </c>
      <c r="M480" s="13" t="inlineStr">
        <is>
          <t>【今回実装：王冠（#183 と同じ）（`monarch`・バッチC2）】（審査時は○）#183『王冠』と同じ</t>
        </is>
      </c>
    </row>
    <row r="481" ht="41.5" customHeight="1">
      <c r="A481" s="7" t="n">
        <v>480</v>
      </c>
      <c r="B481" s="8" t="inlineStr">
        <is>
          <t>キーワード処理</t>
        </is>
      </c>
      <c r="C481" s="8" t="inlineStr">
        <is>
          <t>多人数・交流</t>
        </is>
      </c>
      <c r="D481" s="9" t="inlineStr">
        <is>
          <t>イニシアチブを得る</t>
        </is>
      </c>
      <c r="E481" s="10" t="inlineStr">
        <is>
          <t>Take the initiative</t>
        </is>
      </c>
      <c r="F481" s="7" t="inlineStr">
        <is>
          <t>726</t>
        </is>
      </c>
      <c r="G481" s="8" t="inlineStr">
        <is>
          <t>得るとアンダーシティを探索し、保持中は毎ターン探索する。戦闘ダメージで奪われる。総合ルール上は701外。</t>
        </is>
      </c>
      <c r="H481" s="8" t="inlineStr">
        <is>
          <t>統率者レジェンズ：バルダーズ・ゲートの戦い (2022)</t>
        </is>
      </c>
      <c r="I481" s="8" t="inlineStr">
        <is>
          <t>保持者が毎ターン進行マップを1マス進める奪い合い資源。王冠と同様だが、報酬が段階的に強くなる。</t>
        </is>
      </c>
      <c r="J481" s="11" t="inlineStr">
        <is>
          <t>中</t>
        </is>
      </c>
      <c r="K481" s="8" t="inlineStr">
        <is>
          <t>進行トラック</t>
        </is>
      </c>
      <c r="L481" s="12" t="inlineStr">
        <is>
          <t>×</t>
        </is>
      </c>
      <c r="M481" s="13" t="inlineStr">
        <is>
          <t>進行トラック前提</t>
        </is>
      </c>
    </row>
    <row r="482" ht="29" customHeight="1">
      <c r="A482" s="7" t="n">
        <v>481</v>
      </c>
      <c r="B482" s="8" t="inlineStr">
        <is>
          <t>能力語</t>
        </is>
      </c>
      <c r="C482" s="8" t="inlineStr">
        <is>
          <t>条件ボーナス</t>
        </is>
      </c>
      <c r="D482" s="9" t="inlineStr">
        <is>
          <t>一徹</t>
        </is>
      </c>
      <c r="E482" s="10" t="inlineStr">
        <is>
          <t>Adamant</t>
        </is>
      </c>
      <c r="F482" s="7" t="inlineStr">
        <is>
          <t>207.2c</t>
        </is>
      </c>
      <c r="G482" s="8" t="inlineStr">
        <is>
          <t>呪文を唱えるのに同じ色のマナを3つ以上使っていれば追加効果を得る。</t>
        </is>
      </c>
      <c r="H482" s="8" t="inlineStr">
        <is>
          <t>エルドレインの王権 (2019)</t>
        </is>
      </c>
      <c r="I482" s="8" t="inlineStr">
        <is>
          <t>このターン同じ属性のカードを3枚以上使っていれば追加効果。単属性ビルドへの報酬として機能する。</t>
        </is>
      </c>
      <c r="J482" s="11" t="inlineStr">
        <is>
          <t>高</t>
        </is>
      </c>
      <c r="K482" s="8" t="inlineStr">
        <is>
          <t>カード属性</t>
        </is>
      </c>
      <c r="L482" s="12" t="inlineStr">
        <is>
          <t>×</t>
        </is>
      </c>
      <c r="M482" s="13" t="inlineStr">
        <is>
          <t>色マナ前提。種類の枚数なら既存：このターン3枚目以降</t>
        </is>
      </c>
    </row>
    <row r="483" ht="25" customHeight="1">
      <c r="A483" s="7" t="n">
        <v>482</v>
      </c>
      <c r="B483" s="8" t="inlineStr">
        <is>
          <t>能力語</t>
        </is>
      </c>
      <c r="C483" s="8" t="inlineStr">
        <is>
          <t>条件ボーナス</t>
        </is>
      </c>
      <c r="D483" s="9" t="inlineStr">
        <is>
          <t>附則</t>
        </is>
      </c>
      <c r="E483" s="10" t="inlineStr">
        <is>
          <t>Addendum</t>
        </is>
      </c>
      <c r="F483" s="7" t="inlineStr">
        <is>
          <t>207.2c</t>
        </is>
      </c>
      <c r="G483" s="8" t="inlineStr">
        <is>
          <t>自分のメイン・フェイズに唱えた場合に、インスタントへ追加効果が付く。</t>
        </is>
      </c>
      <c r="H483" s="8" t="inlineStr">
        <is>
          <t>ラヴニカの献身 (2019)</t>
        </is>
      </c>
      <c r="I483" s="8" t="inlineStr">
        <is>
          <t>相手ターンにも使えるリアクションカードを、自分のターンに使うと追加効果。いつ使うかの判断が生まれる。</t>
        </is>
      </c>
      <c r="J483" s="11" t="inlineStr">
        <is>
          <t>中</t>
        </is>
      </c>
      <c r="K483" s="8" t="inlineStr">
        <is>
          <t>相手ターン行動</t>
        </is>
      </c>
      <c r="L483" s="12" t="inlineStr">
        <is>
          <t>×</t>
        </is>
      </c>
      <c r="M483" s="13" t="inlineStr">
        <is>
          <t>相手ターンに行動できないので常に満たす</t>
        </is>
      </c>
    </row>
    <row r="484" ht="29" customHeight="1">
      <c r="A484" s="7" t="n">
        <v>483</v>
      </c>
      <c r="B484" s="8" t="inlineStr">
        <is>
          <t>能力語</t>
        </is>
      </c>
      <c r="C484" s="8" t="inlineStr">
        <is>
          <t>展開・トークン</t>
        </is>
      </c>
      <c r="D484" s="9" t="inlineStr">
        <is>
          <t>団結</t>
        </is>
      </c>
      <c r="E484" s="10" t="inlineStr">
        <is>
          <t>Alliance</t>
        </is>
      </c>
      <c r="F484" s="7" t="inlineStr">
        <is>
          <t>207.2c</t>
        </is>
      </c>
      <c r="G484" s="8" t="inlineStr">
        <is>
          <t>自分のコントロール下で他のクリーチャーが戦場に出るたびに誘発する。</t>
        </is>
      </c>
      <c r="H484" s="8" t="inlineStr">
        <is>
          <t>ニューカペナの街角 (2022)</t>
        </is>
      </c>
      <c r="I484" s="8" t="inlineStr">
        <is>
          <t>味方ミニオンを出すたびに発動する常駐効果。トークンを大量に出すデッキの報酬で、発動回数の制限でバランスを取る。</t>
        </is>
      </c>
      <c r="J484" s="11" t="inlineStr">
        <is>
          <t>高</t>
        </is>
      </c>
      <c r="K484" s="8" t="inlineStr">
        <is>
          <t>ユニット展開</t>
        </is>
      </c>
      <c r="L484" s="12" t="inlineStr">
        <is>
          <t>◎</t>
        </is>
      </c>
      <c r="M484" s="13" t="inlineStr">
        <is>
          <t>【今回実装：自分のモンスターが出るたび・出たモンスター】今回実装 タイミング『自分のモンスターが出るたび』allySummoned＋対象『出たモンスター』</t>
        </is>
      </c>
    </row>
    <row r="485" ht="29" customHeight="1">
      <c r="A485" s="7" t="n">
        <v>484</v>
      </c>
      <c r="B485" s="8" t="inlineStr">
        <is>
          <t>能力語</t>
        </is>
      </c>
      <c r="C485" s="8" t="inlineStr">
        <is>
          <t>攻撃</t>
        </is>
      </c>
      <c r="D485" s="9" t="inlineStr">
        <is>
          <t>大隊</t>
        </is>
      </c>
      <c r="E485" s="10" t="inlineStr">
        <is>
          <t>Battalion</t>
        </is>
      </c>
      <c r="F485" s="7" t="inlineStr">
        <is>
          <t>207.2c</t>
        </is>
      </c>
      <c r="G485" s="8" t="inlineStr">
        <is>
          <t>これと他に2体以上のクリーチャーが同時に攻撃すると誘発する。</t>
        </is>
      </c>
      <c r="H485" s="8" t="inlineStr">
        <is>
          <t>ギルド門侵犯 (2013)</t>
        </is>
      </c>
      <c r="I485" s="8" t="inlineStr">
        <is>
          <t>同じターンに攻撃カードを3枚以上使うと追加効果。攻撃・ブロックの構造がなくても攻撃カードの枚数で置き換えられる。</t>
        </is>
      </c>
      <c r="J485" s="11" t="inlineStr">
        <is>
          <t>高</t>
        </is>
      </c>
      <c r="K485" s="8" t="inlineStr">
        <is>
          <t>攻撃カード</t>
        </is>
      </c>
      <c r="L485" s="12" t="inlineStr">
        <is>
          <t>◎</t>
        </is>
      </c>
      <c r="M485" s="13" t="inlineStr">
        <is>
          <t>【今回実装：条件『このターン自分のモンスターが2回以上攻撃した』（`twoAllyAttacks`・バッチA）】（審査時は○）条件『このターン自分のモンスターが2回以上攻撃した』倍率0.6（#522の上位）</t>
        </is>
      </c>
    </row>
    <row r="486" ht="29" customHeight="1">
      <c r="A486" s="7" t="n">
        <v>485</v>
      </c>
      <c r="B486" s="8" t="inlineStr">
        <is>
          <t>能力語</t>
        </is>
      </c>
      <c r="C486" s="8" t="inlineStr">
        <is>
          <t>強化</t>
        </is>
      </c>
      <c r="D486" s="9" t="inlineStr">
        <is>
          <t>湧血</t>
        </is>
      </c>
      <c r="E486" s="10" t="inlineStr">
        <is>
          <t>Bloodrush</t>
        </is>
      </c>
      <c r="F486" s="7" t="inlineStr">
        <is>
          <t>207.2c</t>
        </is>
      </c>
      <c r="G486" s="8" t="inlineStr">
        <is>
          <t>手札からこのカードを捨て、攻撃クリーチャー1体を強化する起動型能力。</t>
        </is>
      </c>
      <c r="H486" s="8" t="inlineStr">
        <is>
          <t>ギルド門侵犯 (2013)</t>
        </is>
      </c>
      <c r="I486" s="8" t="inlineStr">
        <is>
          <t>ユニットカードを手札から捨てて即席の強化カードとして使う二択。手札の使い道が増え、腐る札を減らせる。</t>
        </is>
      </c>
      <c r="J486" s="11" t="inlineStr">
        <is>
          <t>高</t>
        </is>
      </c>
      <c r="K486" s="8" t="inlineStr">
        <is>
          <t>手札・強化</t>
        </is>
      </c>
      <c r="L486" s="12" t="inlineStr">
        <is>
          <t>△</t>
        </is>
      </c>
      <c r="M486" s="13" t="inlineStr">
        <is>
          <t>#487魂力にまとめる（捨てて自分のモンスター攻撃力+Nの2WAY）</t>
        </is>
      </c>
    </row>
    <row r="487" ht="29" customHeight="1">
      <c r="A487" s="7" t="n">
        <v>486</v>
      </c>
      <c r="B487" s="8" t="inlineStr">
        <is>
          <t>能力語</t>
        </is>
      </c>
      <c r="C487" s="8" t="inlineStr">
        <is>
          <t>条件ボーナス</t>
        </is>
      </c>
      <c r="D487" s="9" t="inlineStr">
        <is>
          <t>祝祭</t>
        </is>
      </c>
      <c r="E487" s="10" t="inlineStr">
        <is>
          <t>Celebration</t>
        </is>
      </c>
      <c r="F487" s="7" t="inlineStr">
        <is>
          <t>207.2c</t>
        </is>
      </c>
      <c r="G487" s="8" t="inlineStr">
        <is>
          <t>このターンに土地でないパーマネントが2つ以上自分の戦場に出ていれば追加効果を得る。</t>
        </is>
      </c>
      <c r="H487" s="8" t="inlineStr">
        <is>
          <t>エルドレインの森 (2023)</t>
        </is>
      </c>
      <c r="I487" s="8" t="inlineStr">
        <is>
          <t>このターンに設置物やミニオンを2つ以上出していれば追加効果。展開の量を報酬にする条件。</t>
        </is>
      </c>
      <c r="J487" s="11" t="inlineStr">
        <is>
          <t>高</t>
        </is>
      </c>
      <c r="K487" s="8" t="inlineStr">
        <is>
          <t>場に残るカード</t>
        </is>
      </c>
      <c r="L487" s="12" t="inlineStr">
        <is>
          <t>◎</t>
        </is>
      </c>
      <c r="M487" s="13" t="inlineStr">
        <is>
          <t>【今回実装：このターンにモンスターを2体以上出した】今回実装 条件『このターンにモンスターを2体以上出した』twoSummonsThisTurn</t>
        </is>
      </c>
    </row>
    <row r="488" ht="29" customHeight="1">
      <c r="A488" s="7" t="n">
        <v>487</v>
      </c>
      <c r="B488" s="8" t="inlineStr">
        <is>
          <t>能力語</t>
        </is>
      </c>
      <c r="C488" s="8" t="inlineStr">
        <is>
          <t>反復・再利用</t>
        </is>
      </c>
      <c r="D488" s="9" t="inlineStr">
        <is>
          <t>魂力</t>
        </is>
      </c>
      <c r="E488" s="10" t="inlineStr">
        <is>
          <t>Channel</t>
        </is>
      </c>
      <c r="F488" s="7" t="inlineStr">
        <is>
          <t>207.2c</t>
        </is>
      </c>
      <c r="G488" s="8" t="inlineStr">
        <is>
          <t>手札からこのカードを捨てることで起動できる能力。本体とは別の使い道になる。</t>
        </is>
      </c>
      <c r="H488" s="8" t="inlineStr">
        <is>
          <t>神河救済 (2005)</t>
        </is>
      </c>
      <c r="I488" s="8" t="inlineStr">
        <is>
          <t>手札から捨てて別の効果を使える2WAYカード。どちらか片方しか使えないので、高い方の価値でポイントを決める。</t>
        </is>
      </c>
      <c r="J488" s="11" t="inlineStr">
        <is>
          <t>高</t>
        </is>
      </c>
      <c r="K488" s="8" t="inlineStr">
        <is>
          <t>手札・捨て札</t>
        </is>
      </c>
      <c r="L488" s="12" t="inlineStr">
        <is>
          <t>◎</t>
        </is>
      </c>
      <c r="M488" s="13" t="inlineStr">
        <is>
          <t>【今回実装：カードの能力『魂力』（行動 handAbility）（`channel`・バッチC1）】（審査時は○）2WAY『魂力』：手札から捨てて別効果を使う行動を追加。高い方の価値で価格</t>
        </is>
      </c>
    </row>
    <row r="489" ht="25" customHeight="1">
      <c r="A489" s="7" t="n">
        <v>488</v>
      </c>
      <c r="B489" s="8" t="inlineStr">
        <is>
          <t>能力語</t>
        </is>
      </c>
      <c r="C489" s="8" t="inlineStr">
        <is>
          <t>条件ボーナス</t>
        </is>
      </c>
      <c r="D489" s="9" t="inlineStr">
        <is>
          <t>彩色</t>
        </is>
      </c>
      <c r="E489" s="10" t="inlineStr">
        <is>
          <t>Chroma</t>
        </is>
      </c>
      <c r="F489" s="7" t="inlineStr">
        <is>
          <t>207.2c</t>
        </is>
      </c>
      <c r="G489" s="8" t="inlineStr">
        <is>
          <t>特定の色のマナ・シンボルの数を数え、その数で効果量が決まる。</t>
        </is>
      </c>
      <c r="H489" s="8" t="inlineStr">
        <is>
          <t>未来予知 (2007)</t>
        </is>
      </c>
      <c r="I489" s="8" t="inlineStr">
        <is>
          <t>手札や場にある特定属性のカード枚数で効果量が増える。属性を統一したデッキへの報酬。</t>
        </is>
      </c>
      <c r="J489" s="11" t="inlineStr">
        <is>
          <t>高</t>
        </is>
      </c>
      <c r="K489" s="8" t="inlineStr">
        <is>
          <t>カード属性</t>
        </is>
      </c>
      <c r="L489" s="12" t="inlineStr">
        <is>
          <t>×</t>
        </is>
      </c>
      <c r="M489" s="13" t="inlineStr">
        <is>
          <t>色・属性の仕組みが無い</t>
        </is>
      </c>
    </row>
    <row r="490" ht="29" customHeight="1">
      <c r="A490" s="7" t="n">
        <v>489</v>
      </c>
      <c r="B490" s="8" t="inlineStr">
        <is>
          <t>能力語</t>
        </is>
      </c>
      <c r="C490" s="8" t="inlineStr">
        <is>
          <t>コスト・リソース</t>
        </is>
      </c>
      <c r="D490" s="9" t="inlineStr">
        <is>
          <t>盟友</t>
        </is>
      </c>
      <c r="E490" s="10" t="inlineStr">
        <is>
          <t>Cohort</t>
        </is>
      </c>
      <c r="F490" s="7" t="inlineStr">
        <is>
          <t>207.2c</t>
        </is>
      </c>
      <c r="G490" s="8" t="inlineStr">
        <is>
          <t>このクリーチャーと、アンタップ状態の他の同盟者1体をタップして起動する能力。</t>
        </is>
      </c>
      <c r="H490" s="8" t="inlineStr">
        <is>
          <t>ゲートウォッチの誓い (2016)</t>
        </is>
      </c>
      <c r="I490" s="8" t="inlineStr">
        <is>
          <t>同じ系統のミニオン2体を行動済みにすると発動するコンビ技。系統シナジーを促す。</t>
        </is>
      </c>
      <c r="J490" s="11" t="inlineStr">
        <is>
          <t>中</t>
        </is>
      </c>
      <c r="K490" s="8" t="inlineStr">
        <is>
          <t>行動済みフラグ</t>
        </is>
      </c>
      <c r="L490" s="12" t="inlineStr">
        <is>
          <t>×</t>
        </is>
      </c>
      <c r="M490" s="13" t="inlineStr">
        <is>
          <t>系統・タップ起動の仕組みが無い</t>
        </is>
      </c>
    </row>
    <row r="491" ht="25" customHeight="1">
      <c r="A491" s="7" t="n">
        <v>490</v>
      </c>
      <c r="B491" s="8" t="inlineStr">
        <is>
          <t>能力語</t>
        </is>
      </c>
      <c r="C491" s="8" t="inlineStr">
        <is>
          <t>条件ボーナス</t>
        </is>
      </c>
      <c r="D491" s="9" t="inlineStr">
        <is>
          <t>星座</t>
        </is>
      </c>
      <c r="E491" s="10" t="inlineStr">
        <is>
          <t>Constellation</t>
        </is>
      </c>
      <c r="F491" s="7" t="inlineStr">
        <is>
          <t>207.2c</t>
        </is>
      </c>
      <c r="G491" s="8" t="inlineStr">
        <is>
          <t>このパーマネントか他のエンチャントが自分の戦場に出るたびに誘発する。</t>
        </is>
      </c>
      <c r="H491" s="8" t="inlineStr">
        <is>
          <t>ニクスへの旅 (2014)</t>
        </is>
      </c>
      <c r="I491" s="8" t="inlineStr">
        <is>
          <t>持続効果（パワー）カードを使うたびに発動する常駐効果。パワー中心のビルドの報酬になる。</t>
        </is>
      </c>
      <c r="J491" s="11" t="inlineStr">
        <is>
          <t>高</t>
        </is>
      </c>
      <c r="K491" s="8" t="inlineStr">
        <is>
          <t>持続効果カード</t>
        </is>
      </c>
      <c r="L491" s="12" t="inlineStr">
        <is>
          <t>◎</t>
        </is>
      </c>
      <c r="M491" s="13" t="inlineStr">
        <is>
          <t>【今回実装：自分がパワーを使うたび】今回実装 タイミング『自分がパワーを使うたび』powerPlayed</t>
        </is>
      </c>
    </row>
    <row r="492" ht="29" customHeight="1">
      <c r="A492" s="7" t="n">
        <v>491</v>
      </c>
      <c r="B492" s="8" t="inlineStr">
        <is>
          <t>能力語</t>
        </is>
      </c>
      <c r="C492" s="8" t="inlineStr">
        <is>
          <t>条件ボーナス</t>
        </is>
      </c>
      <c r="D492" s="9" t="inlineStr">
        <is>
          <t>収斂</t>
        </is>
      </c>
      <c r="E492" s="10" t="inlineStr">
        <is>
          <t>Converge</t>
        </is>
      </c>
      <c r="F492" s="7" t="inlineStr">
        <is>
          <t>207.2c</t>
        </is>
      </c>
      <c r="G492" s="8" t="inlineStr">
        <is>
          <t>呪文を唱えるのに使ったマナの色の種類数に応じて効果量が変わる。</t>
        </is>
      </c>
      <c r="H492" s="8" t="inlineStr">
        <is>
          <t>戦乱のゼンディカー (2015)</t>
        </is>
      </c>
      <c r="I492" s="8" t="inlineStr">
        <is>
          <t>このターンに使ったカードの属性の種類数で効果量が増える。多属性ビルドへの報酬。</t>
        </is>
      </c>
      <c r="J492" s="11" t="inlineStr">
        <is>
          <t>高</t>
        </is>
      </c>
      <c r="K492" s="8" t="inlineStr">
        <is>
          <t>カード属性</t>
        </is>
      </c>
      <c r="L492" s="12" t="inlineStr">
        <is>
          <t>△</t>
        </is>
      </c>
      <c r="M492" s="13" t="inlineStr">
        <is>
          <t>条件『このターン3種類以上のカード（アタック/スキル/パワー/モンスター）を使った』0.6</t>
        </is>
      </c>
    </row>
    <row r="493" ht="29" customHeight="1">
      <c r="A493" s="7" t="n">
        <v>492</v>
      </c>
      <c r="B493" s="8" t="inlineStr">
        <is>
          <t>能力語</t>
        </is>
      </c>
      <c r="C493" s="8" t="inlineStr">
        <is>
          <t>多人数・交流</t>
        </is>
      </c>
      <c r="D493" s="9" t="inlineStr">
        <is>
          <t>動議</t>
        </is>
      </c>
      <c r="E493" s="10" t="inlineStr">
        <is>
          <t>Council's dilemma</t>
        </is>
      </c>
      <c r="F493" s="7" t="inlineStr">
        <is>
          <t>207.2c</t>
        </is>
      </c>
      <c r="G493" s="8" t="inlineStr">
        <is>
          <t>各プレイヤーが2つの選択肢に投票し、それぞれの得票数分だけ効果が起こる。</t>
        </is>
      </c>
      <c r="H493" s="8" t="inlineStr">
        <is>
          <t>コンスピラシー：王位争奪 (2016)</t>
        </is>
      </c>
      <c r="I493" s="8" t="inlineStr">
        <is>
          <t>全員が投票し、票数分ずつ両方の効果が起こる。多人数戦で互いの思惑を読み合うイベントカード。</t>
        </is>
      </c>
      <c r="J493" s="11" t="inlineStr">
        <is>
          <t>中</t>
        </is>
      </c>
      <c r="K493" s="8" t="inlineStr">
        <is>
          <t>多人数/選択UI</t>
        </is>
      </c>
      <c r="L493" s="12" t="inlineStr">
        <is>
          <t>×</t>
        </is>
      </c>
      <c r="M493" s="13" t="inlineStr">
        <is>
          <t>多人数投票前提</t>
        </is>
      </c>
    </row>
    <row r="494" ht="29" customHeight="1">
      <c r="A494" s="7" t="n">
        <v>493</v>
      </c>
      <c r="B494" s="8" t="inlineStr">
        <is>
          <t>能力語</t>
        </is>
      </c>
      <c r="C494" s="8" t="inlineStr">
        <is>
          <t>条件ボーナス</t>
        </is>
      </c>
      <c r="D494" s="9" t="inlineStr">
        <is>
          <t>集会</t>
        </is>
      </c>
      <c r="E494" s="10" t="inlineStr">
        <is>
          <t>Coven</t>
        </is>
      </c>
      <c r="F494" s="7" t="inlineStr">
        <is>
          <t>207.2c</t>
        </is>
      </c>
      <c r="G494" s="8" t="inlineStr">
        <is>
          <t>自分がパワーの異なるクリーチャーを3体以上コントロールしていれば追加効果を得る。</t>
        </is>
      </c>
      <c r="H494" s="8" t="inlineStr">
        <is>
          <t>イニストラード：真夜中の狩り (2021)</t>
        </is>
      </c>
      <c r="I494" s="8" t="inlineStr">
        <is>
          <t>攻撃力がバラバラのミニオンを3体以上並べると追加効果。全体を均一に強化する戦略と相反する独特の条件。</t>
        </is>
      </c>
      <c r="J494" s="11" t="inlineStr">
        <is>
          <t>高</t>
        </is>
      </c>
      <c r="K494" s="8" t="inlineStr">
        <is>
          <t>複数ユニット</t>
        </is>
      </c>
      <c r="L494" s="12" t="inlineStr">
        <is>
          <t>◎</t>
        </is>
      </c>
      <c r="M494" s="13" t="inlineStr">
        <is>
          <t>【今回実装：条件『攻撃力の違う自分のモンスターが3体以上』（`coven`・バッチA）】（審査時は○）条件『攻撃力がすべて違う自分のモンスターが3体以上』倍率0.5</t>
        </is>
      </c>
    </row>
    <row r="495" ht="29" customHeight="1">
      <c r="A495" s="7" t="n">
        <v>494</v>
      </c>
      <c r="B495" s="8" t="inlineStr">
        <is>
          <t>能力語</t>
        </is>
      </c>
      <c r="C495" s="8" t="inlineStr">
        <is>
          <t>墓地利用</t>
        </is>
      </c>
      <c r="D495" s="9" t="inlineStr">
        <is>
          <t>昂揚</t>
        </is>
      </c>
      <c r="E495" s="10" t="inlineStr">
        <is>
          <t>Delirium</t>
        </is>
      </c>
      <c r="F495" s="7" t="inlineStr">
        <is>
          <t>207.2c</t>
        </is>
      </c>
      <c r="G495" s="8" t="inlineStr">
        <is>
          <t>自分の墓地にあるカード・タイプが4種類以上なら追加効果を得る。</t>
        </is>
      </c>
      <c r="H495" s="8" t="inlineStr">
        <is>
          <t>イニストラードを覆う影 (2016)</t>
        </is>
      </c>
      <c r="I495" s="8" t="inlineStr">
        <is>
          <t>捨て札にカード種類（攻撃・スキル・パワー・呪い）が4種揃うと強化。捨て札の中身を意識させる。</t>
        </is>
      </c>
      <c r="J495" s="11" t="inlineStr">
        <is>
          <t>高</t>
        </is>
      </c>
      <c r="K495" s="8" t="inlineStr">
        <is>
          <t>捨て札ゾーン</t>
        </is>
      </c>
      <c r="L495" s="12" t="inlineStr">
        <is>
          <t>◎</t>
        </is>
      </c>
      <c r="M495" s="13" t="inlineStr">
        <is>
          <t>【今回実装：条件『捨て札にカードの種類が3種類以上』（`delirium`・バッチA）】（審査時は○）条件『捨て札にカードの種類が3種類以上』倍率0.7（呪いを含む4種なら0.5）</t>
        </is>
      </c>
    </row>
    <row r="496" ht="29" customHeight="1">
      <c r="A496" s="7" t="n">
        <v>495</v>
      </c>
      <c r="B496" s="8" t="inlineStr">
        <is>
          <t>能力語</t>
        </is>
      </c>
      <c r="C496" s="8" t="inlineStr">
        <is>
          <t>墓地利用</t>
        </is>
      </c>
      <c r="D496" s="9" t="inlineStr">
        <is>
          <t>落魄4</t>
        </is>
      </c>
      <c r="E496" s="10" t="inlineStr">
        <is>
          <t>Descend 4</t>
        </is>
      </c>
      <c r="F496" s="7" t="inlineStr">
        <is>
          <t>207.2c</t>
        </is>
      </c>
      <c r="G496" s="8" t="inlineStr">
        <is>
          <t>自分の墓地にパーマネント・カードが4枚以上あれば追加効果を得る。</t>
        </is>
      </c>
      <c r="H496" s="8" t="inlineStr">
        <is>
          <t>イクサラン：失われし洞窟 (2023)</t>
        </is>
      </c>
      <c r="I496" s="8" t="inlineStr">
        <is>
          <t>捨て札か廃棄に特定種類のカードが4枚以上あれば追加効果。序盤は弱く中盤から強くなる。</t>
        </is>
      </c>
      <c r="J496" s="11" t="inlineStr">
        <is>
          <t>高</t>
        </is>
      </c>
      <c r="K496" s="8" t="inlineStr">
        <is>
          <t>捨て札ゾーン</t>
        </is>
      </c>
      <c r="L496" s="12" t="inlineStr">
        <is>
          <t>△</t>
        </is>
      </c>
      <c r="M496" s="13" t="inlineStr">
        <is>
          <t>#532スレッショルド/#533に統合：『捨て札にモンスター4枚以上』</t>
        </is>
      </c>
    </row>
    <row r="497" ht="29" customHeight="1">
      <c r="A497" s="7" t="n">
        <v>496</v>
      </c>
      <c r="B497" s="8" t="inlineStr">
        <is>
          <t>能力語</t>
        </is>
      </c>
      <c r="C497" s="8" t="inlineStr">
        <is>
          <t>墓地利用</t>
        </is>
      </c>
      <c r="D497" s="9" t="inlineStr">
        <is>
          <t>落魄8</t>
        </is>
      </c>
      <c r="E497" s="10" t="inlineStr">
        <is>
          <t>Descend 8</t>
        </is>
      </c>
      <c r="F497" s="7" t="inlineStr">
        <is>
          <t>207.2c</t>
        </is>
      </c>
      <c r="G497" s="8" t="inlineStr">
        <is>
          <t>自分の墓地にパーマネント・カードが8枚以上あれば追加効果を得る。</t>
        </is>
      </c>
      <c r="H497" s="8" t="inlineStr">
        <is>
          <t>イクサラン：失われし洞窟 (2023)</t>
        </is>
      </c>
      <c r="I497" s="8" t="inlineStr">
        <is>
          <t>落魄4の上位条件。終盤限定の大きな報酬として、高レアの切り札に設定する。</t>
        </is>
      </c>
      <c r="J497" s="11" t="inlineStr">
        <is>
          <t>高</t>
        </is>
      </c>
      <c r="K497" s="8" t="inlineStr">
        <is>
          <t>捨て札ゾーン</t>
        </is>
      </c>
      <c r="L497" s="12" t="inlineStr">
        <is>
          <t>×</t>
        </is>
      </c>
      <c r="M497" s="13" t="inlineStr">
        <is>
          <t>#495と同じ（閾値違い）</t>
        </is>
      </c>
    </row>
    <row r="498" ht="25" customHeight="1">
      <c r="A498" s="7" t="n">
        <v>497</v>
      </c>
      <c r="B498" s="8" t="inlineStr">
        <is>
          <t>能力語</t>
        </is>
      </c>
      <c r="C498" s="8" t="inlineStr">
        <is>
          <t>条件ボーナス</t>
        </is>
      </c>
      <c r="D498" s="9" t="inlineStr">
        <is>
          <t>版図</t>
        </is>
      </c>
      <c r="E498" s="10" t="inlineStr">
        <is>
          <t>Domain</t>
        </is>
      </c>
      <c r="F498" s="7" t="inlineStr">
        <is>
          <t>207.2c</t>
        </is>
      </c>
      <c r="G498" s="8" t="inlineStr">
        <is>
          <t>自分がコントロールする土地の基本土地タイプの種類数に応じて効果量が変わる。</t>
        </is>
      </c>
      <c r="H498" s="8" t="inlineStr">
        <is>
          <t>インベイジョン (2000)</t>
        </is>
      </c>
      <c r="I498" s="8" t="inlineStr">
        <is>
          <t>所持している異なる資源タイプや遺物の種類数で効果が伸びる。収集のやり込みに報酬を与える。</t>
        </is>
      </c>
      <c r="J498" s="11" t="inlineStr">
        <is>
          <t>高</t>
        </is>
      </c>
      <c r="K498" s="8" t="inlineStr">
        <is>
          <t>資源タイプ</t>
        </is>
      </c>
      <c r="L498" s="12" t="inlineStr">
        <is>
          <t>×</t>
        </is>
      </c>
      <c r="M498" s="13" t="inlineStr">
        <is>
          <t>土地タイプ前提</t>
        </is>
      </c>
    </row>
    <row r="499" ht="29" customHeight="1">
      <c r="A499" s="7" t="n">
        <v>498</v>
      </c>
      <c r="B499" s="8" t="inlineStr">
        <is>
          <t>能力語</t>
        </is>
      </c>
      <c r="C499" s="8" t="inlineStr">
        <is>
          <t>条件ボーナス</t>
        </is>
      </c>
      <c r="D499" s="9" t="inlineStr">
        <is>
          <t>違和感</t>
        </is>
      </c>
      <c r="E499" s="10" t="inlineStr">
        <is>
          <t>Eerie</t>
        </is>
      </c>
      <c r="F499" s="7" t="inlineStr">
        <is>
          <t>207.2c</t>
        </is>
      </c>
      <c r="G499" s="8" t="inlineStr">
        <is>
          <t>自分のエンチャントが戦場に出るか、部屋を完全に開放するたびに誘発する。</t>
        </is>
      </c>
      <c r="H499" s="8" t="inlineStr">
        <is>
          <t>ダスクモーン：戦慄の館 (2024)</t>
        </is>
      </c>
      <c r="I499" s="8" t="inlineStr">
        <is>
          <t>持続効果カードを使うか、段階解放カードを最終段階まで開けると発動する。パワー系ビルドの報酬。</t>
        </is>
      </c>
      <c r="J499" s="11" t="inlineStr">
        <is>
          <t>高</t>
        </is>
      </c>
      <c r="K499" s="8" t="inlineStr">
        <is>
          <t>持続効果カード</t>
        </is>
      </c>
      <c r="L499" s="12" t="inlineStr">
        <is>
          <t>◎</t>
        </is>
      </c>
      <c r="M499" s="13" t="inlineStr">
        <is>
          <t>【今回実装：自分がパワーを使うたび】タイミング powerPlayed に統合（#490）</t>
        </is>
      </c>
    </row>
    <row r="500" ht="29" customHeight="1">
      <c r="A500" s="7" t="n">
        <v>499</v>
      </c>
      <c r="B500" s="8" t="inlineStr">
        <is>
          <t>能力語</t>
        </is>
      </c>
      <c r="C500" s="8" t="inlineStr">
        <is>
          <t>多人数・交流</t>
        </is>
      </c>
      <c r="D500" s="9" t="inlineStr">
        <is>
          <t>威光</t>
        </is>
      </c>
      <c r="E500" s="10" t="inlineStr">
        <is>
          <t>Eminence</t>
        </is>
      </c>
      <c r="F500" s="7" t="inlineStr">
        <is>
          <t>207.2c</t>
        </is>
      </c>
      <c r="G500" s="8" t="inlineStr">
        <is>
          <t>統率者が統率領域にあっても戦場にあっても機能する能力。</t>
        </is>
      </c>
      <c r="H500" s="8" t="inlineStr">
        <is>
          <t>統率者2017 (2017)</t>
        </is>
      </c>
      <c r="I500" s="8" t="inlineStr">
        <is>
          <t>リーダーカードが場に出ていなくても常に効く固有能力。キャラクター選択型のPvPで各リーダーの個性付けに使える。</t>
        </is>
      </c>
      <c r="J500" s="11" t="inlineStr">
        <is>
          <t>高</t>
        </is>
      </c>
      <c r="K500" s="8" t="inlineStr">
        <is>
          <t>リーダー枠</t>
        </is>
      </c>
      <c r="L500" s="12" t="inlineStr">
        <is>
          <t>×</t>
        </is>
      </c>
      <c r="M500" s="13" t="inlineStr">
        <is>
          <t>統率者・リーダー枠が無い</t>
        </is>
      </c>
    </row>
    <row r="501" ht="25" customHeight="1">
      <c r="A501" s="7" t="n">
        <v>500</v>
      </c>
      <c r="B501" s="8" t="inlineStr">
        <is>
          <t>能力語</t>
        </is>
      </c>
      <c r="C501" s="8" t="inlineStr">
        <is>
          <t>反復・再利用</t>
        </is>
      </c>
      <c r="D501" s="9" t="inlineStr">
        <is>
          <t>激昂</t>
        </is>
      </c>
      <c r="E501" s="10" t="inlineStr">
        <is>
          <t>Enrage</t>
        </is>
      </c>
      <c r="F501" s="7" t="inlineStr">
        <is>
          <t>207.2c</t>
        </is>
      </c>
      <c r="G501" s="8" t="inlineStr">
        <is>
          <t>このクリーチャーにダメージが与えられるたびに誘発する。</t>
        </is>
      </c>
      <c r="H501" s="8" t="inlineStr">
        <is>
          <t>イクサラン (2017)</t>
        </is>
      </c>
      <c r="I501" s="8" t="inlineStr">
        <is>
          <t>被ダメージ時に反撃やブロック獲得が発動する。プレイヤー本体にも付与でき、多段攻撃に弱いなど調整の余地がある。</t>
        </is>
      </c>
      <c r="J501" s="11" t="inlineStr">
        <is>
          <t>高</t>
        </is>
      </c>
      <c r="K501" s="8" t="inlineStr">
        <is>
          <t>ダメージイベント</t>
        </is>
      </c>
      <c r="L501" s="12" t="inlineStr">
        <is>
          <t>×</t>
        </is>
      </c>
      <c r="M501" s="13" t="inlineStr">
        <is>
          <t>既存：ダメージを受けたとき</t>
        </is>
      </c>
    </row>
    <row r="502" ht="29" customHeight="1">
      <c r="A502" s="7" t="n">
        <v>501</v>
      </c>
      <c r="B502" s="8" t="inlineStr">
        <is>
          <t>能力語</t>
        </is>
      </c>
      <c r="C502" s="8" t="inlineStr">
        <is>
          <t>条件ボーナス</t>
        </is>
      </c>
      <c r="D502" s="9" t="inlineStr">
        <is>
          <t>窮地</t>
        </is>
      </c>
      <c r="E502" s="10" t="inlineStr">
        <is>
          <t>Fateful hour</t>
        </is>
      </c>
      <c r="F502" s="7" t="inlineStr">
        <is>
          <t>207.2c</t>
        </is>
      </c>
      <c r="G502" s="8" t="inlineStr">
        <is>
          <t>自分のライフが5点以下なら追加効果を得る。</t>
        </is>
      </c>
      <c r="H502" s="8" t="inlineStr">
        <is>
          <t>闇の隆盛 (2012)</t>
        </is>
      </c>
      <c r="I502" s="10" t="inlineStr">
        <is>
          <t>HPが一定以下なら追加効果。逆転要素として、リスクを取るビルドの報酬になる。</t>
        </is>
      </c>
      <c r="J502" s="11" t="inlineStr">
        <is>
          <t>高</t>
        </is>
      </c>
      <c r="K502" s="10" t="inlineStr">
        <is>
          <t>HP</t>
        </is>
      </c>
      <c r="L502" s="12" t="inlineStr">
        <is>
          <t>◎</t>
        </is>
      </c>
      <c r="M502" s="13" t="inlineStr">
        <is>
          <t>【今回実装：条件『自分のHPが4分の1以下』（`criticalHp`・バッチA）】（審査時は○）次回：条件『HPが1/4以下』。既存『HPが半分以下』の厳しい版</t>
        </is>
      </c>
    </row>
    <row r="503" ht="29" customHeight="1">
      <c r="A503" s="7" t="n">
        <v>502</v>
      </c>
      <c r="B503" s="8" t="inlineStr">
        <is>
          <t>能力語</t>
        </is>
      </c>
      <c r="C503" s="8" t="inlineStr">
        <is>
          <t>墓地利用</t>
        </is>
      </c>
      <c r="D503" s="9" t="inlineStr">
        <is>
          <t>底なしの落魄</t>
        </is>
      </c>
      <c r="E503" s="10" t="inlineStr">
        <is>
          <t>Fathomless descent</t>
        </is>
      </c>
      <c r="F503" s="7" t="inlineStr">
        <is>
          <t>207.2c</t>
        </is>
      </c>
      <c r="G503" s="8" t="inlineStr">
        <is>
          <t>自分の墓地にあるパーマネント・カードの枚数に応じて効果量が増える。</t>
        </is>
      </c>
      <c r="H503" s="8" t="inlineStr">
        <is>
          <t>イクサラン：失われし洞窟 (2023)</t>
        </is>
      </c>
      <c r="I503" s="8" t="inlineStr">
        <is>
          <t>捨て札にある特定種類のカード枚数に比例して効果量が増える。上限を付けてポイントを計算する。</t>
        </is>
      </c>
      <c r="J503" s="11" t="inlineStr">
        <is>
          <t>高</t>
        </is>
      </c>
      <c r="K503" s="8" t="inlineStr">
        <is>
          <t>捨て札ゾーン</t>
        </is>
      </c>
      <c r="L503" s="12" t="inlineStr">
        <is>
          <t>×</t>
        </is>
      </c>
      <c r="M503" s="13" t="inlineStr">
        <is>
          <t>#533宿根と同じ（数に比例する修飾）</t>
        </is>
      </c>
    </row>
    <row r="504" ht="29" customHeight="1">
      <c r="A504" s="7" t="n">
        <v>503</v>
      </c>
      <c r="B504" s="8" t="inlineStr">
        <is>
          <t>能力語</t>
        </is>
      </c>
      <c r="C504" s="8" t="inlineStr">
        <is>
          <t>条件ボーナス</t>
        </is>
      </c>
      <c r="D504" s="9" t="inlineStr">
        <is>
          <t>獰猛</t>
        </is>
      </c>
      <c r="E504" s="10" t="inlineStr">
        <is>
          <t>Ferocious</t>
        </is>
      </c>
      <c r="F504" s="7" t="inlineStr">
        <is>
          <t>207.2c</t>
        </is>
      </c>
      <c r="G504" s="8" t="inlineStr">
        <is>
          <t>パワー4以上のクリーチャーをコントロールしていれば追加効果を得る。</t>
        </is>
      </c>
      <c r="H504" s="8" t="inlineStr">
        <is>
          <t>タルキール覇王譚 (2014)</t>
        </is>
      </c>
      <c r="I504" s="8" t="inlineStr">
        <is>
          <t>筋力（攻撃力）が4以上なら追加効果。大型ユニットや強化を重ねたビルドへの報酬。</t>
        </is>
      </c>
      <c r="J504" s="11" t="inlineStr">
        <is>
          <t>高</t>
        </is>
      </c>
      <c r="K504" s="8" t="inlineStr">
        <is>
          <t>攻撃力ステータス</t>
        </is>
      </c>
      <c r="L504" s="12" t="inlineStr">
        <is>
          <t>◎</t>
        </is>
      </c>
      <c r="M504" s="13" t="inlineStr">
        <is>
          <t>【今回実装：攻撃力4以上の自分のモンスターがいる】今回実装 条件『攻撃力4以上の自分のモンスターがいる』bigMonster</t>
        </is>
      </c>
    </row>
    <row r="505" ht="33" customHeight="1">
      <c r="A505" s="7" t="n">
        <v>504</v>
      </c>
      <c r="B505" s="8" t="inlineStr">
        <is>
          <t>能力語</t>
        </is>
      </c>
      <c r="C505" s="8" t="inlineStr">
        <is>
          <t>条件ボーナス</t>
        </is>
      </c>
      <c r="D505" s="9" t="inlineStr">
        <is>
          <t>疾風</t>
        </is>
      </c>
      <c r="E505" s="10" t="inlineStr">
        <is>
          <t>Flurry</t>
        </is>
      </c>
      <c r="F505" s="7" t="inlineStr">
        <is>
          <t>207.2c</t>
        </is>
      </c>
      <c r="G505" s="8" t="inlineStr">
        <is>
          <t>各ターンに2つ目の呪文を唱えたときに誘発する。</t>
        </is>
      </c>
      <c r="H505" s="8" t="inlineStr">
        <is>
          <t>タルキール：龍嵐録 (2025)</t>
        </is>
      </c>
      <c r="I505" s="10" t="inlineStr">
        <is>
          <t>1ターンに2枚目のカードを使ったとき発動する。StSでは満たしやすいので、3枚目や5枚目で発動する版も作れる。</t>
        </is>
      </c>
      <c r="J505" s="11" t="inlineStr">
        <is>
          <t>高</t>
        </is>
      </c>
      <c r="K505" s="8" t="inlineStr">
        <is>
          <t>使用枚数カウント</t>
        </is>
      </c>
      <c r="L505" s="12" t="inlineStr">
        <is>
          <t>×</t>
        </is>
      </c>
      <c r="M505" s="13" t="inlineStr">
        <is>
          <t>既存：このターン3枚目以降に使う</t>
        </is>
      </c>
    </row>
    <row r="506" ht="29" customHeight="1">
      <c r="A506" s="7" t="n">
        <v>505</v>
      </c>
      <c r="B506" s="8" t="inlineStr">
        <is>
          <t>能力語</t>
        </is>
      </c>
      <c r="C506" s="8" t="inlineStr">
        <is>
          <t>条件ボーナス</t>
        </is>
      </c>
      <c r="D506" s="9" t="inlineStr">
        <is>
          <t>圧倒</t>
        </is>
      </c>
      <c r="E506" s="10" t="inlineStr">
        <is>
          <t>Formidable</t>
        </is>
      </c>
      <c r="F506" s="7" t="inlineStr">
        <is>
          <t>207.2c</t>
        </is>
      </c>
      <c r="G506" s="8" t="inlineStr">
        <is>
          <t>自分のクリーチャーのパワーの合計が8以上なら使える能力。</t>
        </is>
      </c>
      <c r="H506" s="8" t="inlineStr">
        <is>
          <t>タルキール龍紀伝 (2015)</t>
        </is>
      </c>
      <c r="I506" s="8" t="inlineStr">
        <is>
          <t>味方全体の攻撃力合計が閾値以上で発動する。盤面展開と強化の両方を報酬にできる。</t>
        </is>
      </c>
      <c r="J506" s="11" t="inlineStr">
        <is>
          <t>高</t>
        </is>
      </c>
      <c r="K506" s="8" t="inlineStr">
        <is>
          <t>複数ユニット</t>
        </is>
      </c>
      <c r="L506" s="12" t="inlineStr">
        <is>
          <t>◎</t>
        </is>
      </c>
      <c r="M506" s="13" t="inlineStr">
        <is>
          <t>【今回実装：条件『自分のモンスターの攻撃力の合計が8以上』（#402 と統合）（`totalAttack`・バッチA）】（審査時は○）条件『自分のモンスターの攻撃力合計8（基）以上』倍率0.6（#503と近い）</t>
        </is>
      </c>
    </row>
    <row r="507" ht="25" customHeight="1">
      <c r="A507" s="7" t="n">
        <v>506</v>
      </c>
      <c r="B507" s="8" t="inlineStr">
        <is>
          <t>能力語</t>
        </is>
      </c>
      <c r="C507" s="8" t="inlineStr">
        <is>
          <t>反復・再利用</t>
        </is>
      </c>
      <c r="D507" s="9" t="inlineStr">
        <is>
          <t>壮大</t>
        </is>
      </c>
      <c r="E507" s="10" t="inlineStr">
        <is>
          <t>Grandeur</t>
        </is>
      </c>
      <c r="F507" s="7" t="inlineStr">
        <is>
          <t>207.2c</t>
        </is>
      </c>
      <c r="G507" s="8" t="inlineStr">
        <is>
          <t>同名のカードを手札から捨てることで起動できる、伝説のクリーチャーの能力。</t>
        </is>
      </c>
      <c r="H507" s="8" t="inlineStr">
        <is>
          <t>未来予知 (2007)</t>
        </is>
      </c>
      <c r="I507" s="8" t="inlineStr">
        <is>
          <t>同名カードを手札から捨てると特殊効果。重複カードが腐らない仕組みで、同名を複数入れる理由になる。</t>
        </is>
      </c>
      <c r="J507" s="11" t="inlineStr">
        <is>
          <t>高</t>
        </is>
      </c>
      <c r="K507" s="8" t="inlineStr">
        <is>
          <t>同名カード</t>
        </is>
      </c>
      <c r="L507" s="12" t="inlineStr">
        <is>
          <t>×</t>
        </is>
      </c>
      <c r="M507" s="13" t="inlineStr">
        <is>
          <t>同名複数前提で枚数上限と合わない</t>
        </is>
      </c>
    </row>
    <row r="508" ht="33" customHeight="1">
      <c r="A508" s="7" t="n">
        <v>507</v>
      </c>
      <c r="B508" s="8" t="inlineStr">
        <is>
          <t>能力語</t>
        </is>
      </c>
      <c r="C508" s="8" t="inlineStr">
        <is>
          <t>条件ボーナス</t>
        </is>
      </c>
      <c r="D508" s="9" t="inlineStr">
        <is>
          <t>暴勇</t>
        </is>
      </c>
      <c r="E508" s="10" t="inlineStr">
        <is>
          <t>Hellbent</t>
        </is>
      </c>
      <c r="F508" s="7" t="inlineStr">
        <is>
          <t>207.2c</t>
        </is>
      </c>
      <c r="G508" s="8" t="inlineStr">
        <is>
          <t>自分の手札がなければ追加効果を得る。</t>
        </is>
      </c>
      <c r="H508" s="8" t="inlineStr">
        <is>
          <t>ディセンション (2006)</t>
        </is>
      </c>
      <c r="I508" s="8" t="inlineStr">
        <is>
          <t>手札0枚なら追加効果。カードを使い切る攻撃的なプレイを報酬にする。StSの手札運用と相性が良い。</t>
        </is>
      </c>
      <c r="J508" s="11" t="inlineStr">
        <is>
          <t>高</t>
        </is>
      </c>
      <c r="K508" s="8" t="inlineStr">
        <is>
          <t>手札</t>
        </is>
      </c>
      <c r="L508" s="12" t="inlineStr">
        <is>
          <t>◎</t>
        </is>
      </c>
      <c r="M508" s="13" t="inlineStr">
        <is>
          <t>【今回実装：手札が0枚】今回実装 条件『手札が0枚』emptyHand</t>
        </is>
      </c>
    </row>
    <row r="509" ht="25" customHeight="1">
      <c r="A509" s="7" t="n">
        <v>508</v>
      </c>
      <c r="B509" s="8" t="inlineStr">
        <is>
          <t>能力語</t>
        </is>
      </c>
      <c r="C509" s="8" t="inlineStr">
        <is>
          <t>強化</t>
        </is>
      </c>
      <c r="D509" s="9" t="inlineStr">
        <is>
          <t>英雄的</t>
        </is>
      </c>
      <c r="E509" s="10" t="inlineStr">
        <is>
          <t>Heroic</t>
        </is>
      </c>
      <c r="F509" s="7" t="inlineStr">
        <is>
          <t>207.2c</t>
        </is>
      </c>
      <c r="G509" s="8" t="inlineStr">
        <is>
          <t>このクリーチャーを対象とする呪文を自分が唱えるたびに誘発する。</t>
        </is>
      </c>
      <c r="H509" s="8" t="inlineStr">
        <is>
          <t>テーロス (2013)</t>
        </is>
      </c>
      <c r="I509" s="8" t="inlineStr">
        <is>
          <t>このユニットに強化カードを使うたびに追加でバフ。対象を取るサポートカードとセットで使う。</t>
        </is>
      </c>
      <c r="J509" s="11" t="inlineStr">
        <is>
          <t>高</t>
        </is>
      </c>
      <c r="K509" s="8" t="inlineStr">
        <is>
          <t>対象指定</t>
        </is>
      </c>
      <c r="L509" s="12" t="inlineStr">
        <is>
          <t>◎</t>
        </is>
      </c>
      <c r="M509" s="13" t="inlineStr">
        <is>
          <t>【今回実装：タイミング『自分のカードの対象になるたび』（`targeted`・バッチA）】（審査時は○）次回：タイミング『このモンスターが自分のカードの対象になるたび』</t>
        </is>
      </c>
    </row>
    <row r="510" ht="25" customHeight="1">
      <c r="A510" s="7" t="n">
        <v>509</v>
      </c>
      <c r="B510" s="8" t="inlineStr">
        <is>
          <t>能力語</t>
        </is>
      </c>
      <c r="C510" s="8" t="inlineStr">
        <is>
          <t>反復・再利用</t>
        </is>
      </c>
      <c r="D510" s="9" t="inlineStr">
        <is>
          <t>刻印</t>
        </is>
      </c>
      <c r="E510" s="10" t="inlineStr">
        <is>
          <t>Imprint</t>
        </is>
      </c>
      <c r="F510" s="7" t="inlineStr">
        <is>
          <t>207.2c</t>
        </is>
      </c>
      <c r="G510" s="8" t="inlineStr">
        <is>
          <t>カードを追放し、そのカードの情報をこのパーマネントが参照する仕組み。</t>
        </is>
      </c>
      <c r="H510" s="8" t="inlineStr">
        <is>
          <t>ミラディン (2003)</t>
        </is>
      </c>
      <c r="I510" s="8" t="inlineStr">
        <is>
          <t>手札のカードを装置に刻むと、以後その効果を繰り返し使える。デジタルなら刻んだカードを表示できて分かりやすい。</t>
        </is>
      </c>
      <c r="J510" s="11" t="inlineStr">
        <is>
          <t>中</t>
        </is>
      </c>
      <c r="K510" s="8" t="inlineStr">
        <is>
          <t>廃棄・参照</t>
        </is>
      </c>
      <c r="L510" s="12" t="inlineStr">
        <is>
          <t>×</t>
        </is>
      </c>
      <c r="M510" s="13" t="inlineStr">
        <is>
          <t>他カードの効果を参照・再使用する仕組みが重い</t>
        </is>
      </c>
    </row>
    <row r="511" ht="25" customHeight="1">
      <c r="A511" s="7" t="n">
        <v>510</v>
      </c>
      <c r="B511" s="8" t="inlineStr">
        <is>
          <t>能力語</t>
        </is>
      </c>
      <c r="C511" s="8" t="inlineStr">
        <is>
          <t>反復・再利用</t>
        </is>
      </c>
      <c r="D511" s="9" t="inlineStr">
        <is>
          <t>神啓</t>
        </is>
      </c>
      <c r="E511" s="10" t="inlineStr">
        <is>
          <t>Inspired</t>
        </is>
      </c>
      <c r="F511" s="7" t="inlineStr">
        <is>
          <t>207.2c</t>
        </is>
      </c>
      <c r="G511" s="8" t="inlineStr">
        <is>
          <t>このクリーチャーがアンタップするたびに誘発する。</t>
        </is>
      </c>
      <c r="H511" s="8" t="inlineStr">
        <is>
          <t>神々の軍勢 (2014)</t>
        </is>
      </c>
      <c r="I511" s="8" t="inlineStr">
        <is>
          <t>ターン開始時の行動済み解除で発動する。前のターンに行動させた報酬として毎ターン効果が出る。</t>
        </is>
      </c>
      <c r="J511" s="11" t="inlineStr">
        <is>
          <t>高</t>
        </is>
      </c>
      <c r="K511" s="8" t="inlineStr">
        <is>
          <t>行動済みフラグ</t>
        </is>
      </c>
      <c r="L511" s="12" t="inlineStr">
        <is>
          <t>×</t>
        </is>
      </c>
      <c r="M511" s="13" t="inlineStr">
        <is>
          <t>既存：ターン開始時でほぼ同じ</t>
        </is>
      </c>
    </row>
    <row r="512" ht="25" customHeight="1">
      <c r="A512" s="7" t="n">
        <v>511</v>
      </c>
      <c r="B512" s="8" t="inlineStr">
        <is>
          <t>能力語</t>
        </is>
      </c>
      <c r="C512" s="8" t="inlineStr">
        <is>
          <t>多人数・交流</t>
        </is>
      </c>
      <c r="D512" s="9" t="inlineStr">
        <is>
          <t>同調</t>
        </is>
      </c>
      <c r="E512" s="10" t="inlineStr">
        <is>
          <t>Join forces</t>
        </is>
      </c>
      <c r="F512" s="7" t="inlineStr">
        <is>
          <t>207.2c</t>
        </is>
      </c>
      <c r="G512" s="8" t="inlineStr">
        <is>
          <t>各プレイヤーが任意にマナを払い、払われた総額に応じて効果が起こる。</t>
        </is>
      </c>
      <c r="H512" s="8" t="inlineStr">
        <is>
          <t>統率者 (2011)</t>
        </is>
      </c>
      <c r="I512" s="8" t="inlineStr">
        <is>
          <t>全員が任意でエネルギーを出し合い、総額分の効果が全員に及ぶ。協力戦で信頼と裏切りを生むイベント。</t>
        </is>
      </c>
      <c r="J512" s="11" t="inlineStr">
        <is>
          <t>中</t>
        </is>
      </c>
      <c r="K512" s="8" t="inlineStr">
        <is>
          <t>多人数</t>
        </is>
      </c>
      <c r="L512" s="12" t="inlineStr">
        <is>
          <t>×</t>
        </is>
      </c>
      <c r="M512" s="13" t="inlineStr">
        <is>
          <t>多人数前提</t>
        </is>
      </c>
    </row>
    <row r="513" ht="25" customHeight="1">
      <c r="A513" s="7" t="n">
        <v>512</v>
      </c>
      <c r="B513" s="8" t="inlineStr">
        <is>
          <t>能力語</t>
        </is>
      </c>
      <c r="C513" s="8" t="inlineStr">
        <is>
          <t>山札操作</t>
        </is>
      </c>
      <c r="D513" s="9" t="inlineStr">
        <is>
          <t>族系</t>
        </is>
      </c>
      <c r="E513" s="10" t="inlineStr">
        <is>
          <t>Kinship</t>
        </is>
      </c>
      <c r="F513" s="7" t="inlineStr">
        <is>
          <t>207.2c</t>
        </is>
      </c>
      <c r="G513" s="8" t="inlineStr">
        <is>
          <t>アップキープにライブラリーの一番上を見て、同じクリーチャー・タイプなら公開して追加効果。</t>
        </is>
      </c>
      <c r="H513" s="8" t="inlineStr">
        <is>
          <t>モーニングタイド (2008)</t>
        </is>
      </c>
      <c r="I513" s="8" t="inlineStr">
        <is>
          <t>ターン開始時に山札トップを確認し、同じ系統なら追加効果。系統デッキの報酬で、山札操作とも噛み合う。</t>
        </is>
      </c>
      <c r="J513" s="11" t="inlineStr">
        <is>
          <t>高</t>
        </is>
      </c>
      <c r="K513" s="8" t="inlineStr">
        <is>
          <t>山札・系統</t>
        </is>
      </c>
      <c r="L513" s="12" t="inlineStr">
        <is>
          <t>×</t>
        </is>
      </c>
      <c r="M513" s="13" t="inlineStr">
        <is>
          <t>系統の仕組みが無い</t>
        </is>
      </c>
    </row>
    <row r="514" ht="25" customHeight="1">
      <c r="A514" s="7" t="n">
        <v>513</v>
      </c>
      <c r="B514" s="8" t="inlineStr">
        <is>
          <t>能力語</t>
        </is>
      </c>
      <c r="C514" s="8" t="inlineStr">
        <is>
          <t>条件ボーナス</t>
        </is>
      </c>
      <c r="D514" s="9" t="inlineStr">
        <is>
          <t>上陸</t>
        </is>
      </c>
      <c r="E514" s="10" t="inlineStr">
        <is>
          <t>Landfall</t>
        </is>
      </c>
      <c r="F514" s="7" t="inlineStr">
        <is>
          <t>207.2c</t>
        </is>
      </c>
      <c r="G514" s="8" t="inlineStr">
        <is>
          <t>土地が自分のコントロール下で戦場に出るたびに誘発する。</t>
        </is>
      </c>
      <c r="H514" s="8" t="inlineStr">
        <is>
          <t>ゼンディカー (2009)</t>
        </is>
      </c>
      <c r="I514" s="8" t="inlineStr">
        <is>
          <t>エネルギー源カードを出すたびに発動する。資源カードがある設計なら、資源を増やす行動そのものを報酬にできる。</t>
        </is>
      </c>
      <c r="J514" s="11" t="inlineStr">
        <is>
          <t>高</t>
        </is>
      </c>
      <c r="K514" s="8" t="inlineStr">
        <is>
          <t>資源カード</t>
        </is>
      </c>
      <c r="L514" s="12" t="inlineStr">
        <is>
          <t>×</t>
        </is>
      </c>
      <c r="M514" s="13" t="inlineStr">
        <is>
          <t>土地前提</t>
        </is>
      </c>
    </row>
    <row r="515" ht="25" customHeight="1">
      <c r="A515" s="7" t="n">
        <v>514</v>
      </c>
      <c r="B515" s="8" t="inlineStr">
        <is>
          <t>能力語</t>
        </is>
      </c>
      <c r="C515" s="8" t="inlineStr">
        <is>
          <t>条件ボーナス</t>
        </is>
      </c>
      <c r="D515" s="9" t="inlineStr">
        <is>
          <t>副官</t>
        </is>
      </c>
      <c r="E515" s="10" t="inlineStr">
        <is>
          <t>Lieutenant</t>
        </is>
      </c>
      <c r="F515" s="7" t="inlineStr">
        <is>
          <t>207.2c</t>
        </is>
      </c>
      <c r="G515" s="8" t="inlineStr">
        <is>
          <t>自分が統率者をコントロールしていれば追加効果を得る。</t>
        </is>
      </c>
      <c r="H515" s="8" t="inlineStr">
        <is>
          <t>統率者2014 (2014)</t>
        </is>
      </c>
      <c r="I515" s="8" t="inlineStr">
        <is>
          <t>リーダーユニットが場にいる間だけ追加効果。リーダーを守る動機と、リーダー除去の価値を高める。</t>
        </is>
      </c>
      <c r="J515" s="11" t="inlineStr">
        <is>
          <t>高</t>
        </is>
      </c>
      <c r="K515" s="8" t="inlineStr">
        <is>
          <t>リーダー枠</t>
        </is>
      </c>
      <c r="L515" s="12" t="inlineStr">
        <is>
          <t>×</t>
        </is>
      </c>
      <c r="M515" s="13" t="inlineStr">
        <is>
          <t>統率者前提</t>
        </is>
      </c>
    </row>
    <row r="516" ht="29" customHeight="1">
      <c r="A516" s="7" t="n">
        <v>515</v>
      </c>
      <c r="B516" s="8" t="inlineStr">
        <is>
          <t>能力語</t>
        </is>
      </c>
      <c r="C516" s="8" t="inlineStr">
        <is>
          <t>反復・再利用</t>
        </is>
      </c>
      <c r="D516" s="9" t="inlineStr">
        <is>
          <t>魔技</t>
        </is>
      </c>
      <c r="E516" s="10" t="inlineStr">
        <is>
          <t>Magecraft</t>
        </is>
      </c>
      <c r="F516" s="7" t="inlineStr">
        <is>
          <t>207.2c</t>
        </is>
      </c>
      <c r="G516" s="8" t="inlineStr">
        <is>
          <t>自分がインスタントかソーサリーを唱えるかコピーするたびに誘発する。</t>
        </is>
      </c>
      <c r="H516" s="8" t="inlineStr">
        <is>
          <t>ストリクスヘイヴン：魔法学院 (2021)</t>
        </is>
      </c>
      <c r="I516" s="8" t="inlineStr">
        <is>
          <t>スキルカードを使うたびに発動する常駐効果。コピーでも発動させれば、複製系カードとの組み合わせが生まれる。</t>
        </is>
      </c>
      <c r="J516" s="11" t="inlineStr">
        <is>
          <t>高</t>
        </is>
      </c>
      <c r="K516" s="8" t="inlineStr">
        <is>
          <t>カード種類</t>
        </is>
      </c>
      <c r="L516" s="12" t="inlineStr">
        <is>
          <t>◎</t>
        </is>
      </c>
      <c r="M516" s="13" t="inlineStr">
        <is>
          <t>【今回実装：自分がスキルを使うたび】今回実装 タイミング『自分がスキルを使うたび』skillPlayed（アタック版は次回）</t>
        </is>
      </c>
    </row>
    <row r="517" ht="29" customHeight="1">
      <c r="A517" s="7" t="n">
        <v>516</v>
      </c>
      <c r="B517" s="8" t="inlineStr">
        <is>
          <t>能力語</t>
        </is>
      </c>
      <c r="C517" s="8" t="inlineStr">
        <is>
          <t>条件ボーナス</t>
        </is>
      </c>
      <c r="D517" s="9" t="inlineStr">
        <is>
          <t>金属術</t>
        </is>
      </c>
      <c r="E517" s="10" t="inlineStr">
        <is>
          <t>Metalcraft</t>
        </is>
      </c>
      <c r="F517" s="7" t="inlineStr">
        <is>
          <t>207.2c</t>
        </is>
      </c>
      <c r="G517" s="8" t="inlineStr">
        <is>
          <t>自分がアーティファクトを3つ以上コントロールしていれば追加効果を得る。</t>
        </is>
      </c>
      <c r="H517" s="8" t="inlineStr">
        <is>
          <t>ミラディンの傷跡 (2010)</t>
        </is>
      </c>
      <c r="I517" s="8" t="inlineStr">
        <is>
          <t>装備やアイテムを3つ以上持っていれば追加効果。アイテム型ビルドの閾値報酬。</t>
        </is>
      </c>
      <c r="J517" s="11" t="inlineStr">
        <is>
          <t>高</t>
        </is>
      </c>
      <c r="K517" s="8" t="inlineStr">
        <is>
          <t>アイテム/装備</t>
        </is>
      </c>
      <c r="L517" s="12" t="inlineStr">
        <is>
          <t>◎</t>
        </is>
      </c>
      <c r="M517" s="13" t="inlineStr">
        <is>
          <t>【今回実装：自分のパワーが2つ以上】条件 twoPowers に統合（#33）</t>
        </is>
      </c>
    </row>
    <row r="518" ht="25" customHeight="1">
      <c r="A518" s="7" t="n">
        <v>517</v>
      </c>
      <c r="B518" s="8" t="inlineStr">
        <is>
          <t>能力語</t>
        </is>
      </c>
      <c r="C518" s="8" t="inlineStr">
        <is>
          <t>条件ボーナス</t>
        </is>
      </c>
      <c r="D518" s="9" t="inlineStr">
        <is>
          <t>陰鬱</t>
        </is>
      </c>
      <c r="E518" s="10" t="inlineStr">
        <is>
          <t>Morbid</t>
        </is>
      </c>
      <c r="F518" s="7" t="inlineStr">
        <is>
          <t>207.2c</t>
        </is>
      </c>
      <c r="G518" s="8" t="inlineStr">
        <is>
          <t>このターンにクリーチャーが死亡していれば追加効果を得る。</t>
        </is>
      </c>
      <c r="H518" s="8" t="inlineStr">
        <is>
          <t>イニストラード (2011)</t>
        </is>
      </c>
      <c r="I518" s="8" t="inlineStr">
        <is>
          <t>このターンに敵か味方のユニットが倒れていれば追加効果。敵を倒した後の追撃として使いやすい。</t>
        </is>
      </c>
      <c r="J518" s="11" t="inlineStr">
        <is>
          <t>高</t>
        </is>
      </c>
      <c r="K518" s="8" t="inlineStr">
        <is>
          <t>ユニットの死亡</t>
        </is>
      </c>
      <c r="L518" s="12" t="inlineStr">
        <is>
          <t>◎</t>
        </is>
      </c>
      <c r="M518" s="13" t="inlineStr">
        <is>
          <t>【今回実装：このターンにモンスターが破壊された】今回実装 条件 monsterDestroyedThisTurn に統合（#271）</t>
        </is>
      </c>
    </row>
    <row r="519" ht="29" customHeight="1">
      <c r="A519" s="7" t="n">
        <v>518</v>
      </c>
      <c r="B519" s="8" t="inlineStr">
        <is>
          <t>能力語</t>
        </is>
      </c>
      <c r="C519" s="8" t="inlineStr">
        <is>
          <t>攻撃</t>
        </is>
      </c>
      <c r="D519" s="9" t="inlineStr">
        <is>
          <t>集団戦術</t>
        </is>
      </c>
      <c r="E519" s="10" t="inlineStr">
        <is>
          <t>Pack tactics</t>
        </is>
      </c>
      <c r="F519" s="7" t="inlineStr">
        <is>
          <t>207.2c</t>
        </is>
      </c>
      <c r="G519" s="8" t="inlineStr">
        <is>
          <t>攻撃クリーチャーのパワー合計が6以上で攻撃したときに誘発する。</t>
        </is>
      </c>
      <c r="H519" s="8" t="inlineStr">
        <is>
          <t>フォーゴトン・レルム探訪 (2021)</t>
        </is>
      </c>
      <c r="I519" s="8" t="inlineStr">
        <is>
          <t>このターンに与えた攻撃ダメージの合計が6以上なら追加効果。攻撃カードの連打を報酬にする。</t>
        </is>
      </c>
      <c r="J519" s="11" t="inlineStr">
        <is>
          <t>高</t>
        </is>
      </c>
      <c r="K519" s="8" t="inlineStr">
        <is>
          <t>ダメージ集計</t>
        </is>
      </c>
      <c r="L519" s="12" t="inlineStr">
        <is>
          <t>◎</t>
        </is>
      </c>
      <c r="M519" s="13" t="inlineStr">
        <is>
          <t>【今回実装：条件『このターン相手に合計6以上のダメージを与えた』（`bigDamageThisTurn`・バッチA）】（審査時は○）条件『このターン相手に合計N（基6）以上ダメージを与えた』倍率0.6</t>
        </is>
      </c>
    </row>
    <row r="520" ht="25" customHeight="1">
      <c r="A520" s="7" t="n">
        <v>519</v>
      </c>
      <c r="B520" s="8" t="inlineStr">
        <is>
          <t>能力語</t>
        </is>
      </c>
      <c r="C520" s="8" t="inlineStr">
        <is>
          <t>反復・再利用</t>
        </is>
      </c>
      <c r="D520" s="9" t="inlineStr">
        <is>
          <t>パラドックス</t>
        </is>
      </c>
      <c r="E520" s="10" t="inlineStr">
        <is>
          <t>Paradox</t>
        </is>
      </c>
      <c r="F520" s="7" t="inlineStr">
        <is>
          <t>207.2c</t>
        </is>
      </c>
      <c r="G520" s="8" t="inlineStr">
        <is>
          <t>自分が手札以外から呪文を唱えるたびに誘発する。</t>
        </is>
      </c>
      <c r="H520" s="8" t="inlineStr">
        <is>
          <t>ドクター・フー (2023)</t>
        </is>
      </c>
      <c r="I520" s="8" t="inlineStr">
        <is>
          <t>捨て札・廃棄・山札など手札以外からカードを使うたびに発動する。特殊なゾーンから使う仕組みの報酬。</t>
        </is>
      </c>
      <c r="J520" s="11" t="inlineStr">
        <is>
          <t>中</t>
        </is>
      </c>
      <c r="K520" s="8" t="inlineStr">
        <is>
          <t>多ゾーンからの使用</t>
        </is>
      </c>
      <c r="L520" s="12" t="inlineStr">
        <is>
          <t>×</t>
        </is>
      </c>
      <c r="M520" s="13" t="inlineStr">
        <is>
          <t>手札以外からカードを使う仕組みが無い</t>
        </is>
      </c>
    </row>
    <row r="521" ht="25" customHeight="1">
      <c r="A521" s="7" t="n">
        <v>520</v>
      </c>
      <c r="B521" s="8" t="inlineStr">
        <is>
          <t>能力語</t>
        </is>
      </c>
      <c r="C521" s="8" t="inlineStr">
        <is>
          <t>多人数・交流</t>
        </is>
      </c>
      <c r="D521" s="9" t="inlineStr">
        <is>
          <t>協議</t>
        </is>
      </c>
      <c r="E521" s="10" t="inlineStr">
        <is>
          <t>Parley</t>
        </is>
      </c>
      <c r="F521" s="7" t="inlineStr">
        <is>
          <t>207.2c</t>
        </is>
      </c>
      <c r="G521" s="8" t="inlineStr">
        <is>
          <t>各プレイヤーがライブラリーの一番上を公開し、土地でないカードの数に応じて効果が起こる。</t>
        </is>
      </c>
      <c r="H521" s="8" t="inlineStr">
        <is>
          <t>コンスピラシー (2014)</t>
        </is>
      </c>
      <c r="I521" s="8" t="inlineStr">
        <is>
          <t>全員が山札トップを公開し、資源以外のカード枚数分の効果。全員が恩恵を受ける政治的なカード。</t>
        </is>
      </c>
      <c r="J521" s="11" t="inlineStr">
        <is>
          <t>高</t>
        </is>
      </c>
      <c r="K521" s="8" t="inlineStr">
        <is>
          <t>山札公開</t>
        </is>
      </c>
      <c r="L521" s="12" t="inlineStr">
        <is>
          <t>×</t>
        </is>
      </c>
      <c r="M521" s="13" t="inlineStr">
        <is>
          <t>多人数・土地前提</t>
        </is>
      </c>
    </row>
    <row r="522" ht="29" customHeight="1">
      <c r="A522" s="7" t="n">
        <v>521</v>
      </c>
      <c r="B522" s="8" t="inlineStr">
        <is>
          <t>能力語</t>
        </is>
      </c>
      <c r="C522" s="8" t="inlineStr">
        <is>
          <t>多人数・交流</t>
        </is>
      </c>
      <c r="D522" s="9" t="inlineStr">
        <is>
          <t>光輝</t>
        </is>
      </c>
      <c r="E522" s="10" t="inlineStr">
        <is>
          <t>Radiance</t>
        </is>
      </c>
      <c r="F522" s="7" t="inlineStr">
        <is>
          <t>207.2c</t>
        </is>
      </c>
      <c r="G522" s="8" t="inlineStr">
        <is>
          <t>対象と同じ色を持つパーマネントすべてにも効果が広がる。</t>
        </is>
      </c>
      <c r="H522" s="8" t="inlineStr">
        <is>
          <t>ラヴニカ：ギルドの都 (2005)</t>
        </is>
      </c>
      <c r="I522" s="8" t="inlineStr">
        <is>
          <t>対象と同じ属性を持つ全カードに効果が波及する。敵味方を問わず広がるので、諸刃の範囲効果として設計する。</t>
        </is>
      </c>
      <c r="J522" s="11" t="inlineStr">
        <is>
          <t>中</t>
        </is>
      </c>
      <c r="K522" s="8" t="inlineStr">
        <is>
          <t>カード属性</t>
        </is>
      </c>
      <c r="L522" s="12" t="inlineStr">
        <is>
          <t>×</t>
        </is>
      </c>
      <c r="M522" s="13" t="inlineStr">
        <is>
          <t>色・属性前提</t>
        </is>
      </c>
    </row>
    <row r="523" ht="25" customHeight="1">
      <c r="A523" s="7" t="n">
        <v>522</v>
      </c>
      <c r="B523" s="8" t="inlineStr">
        <is>
          <t>能力語</t>
        </is>
      </c>
      <c r="C523" s="8" t="inlineStr">
        <is>
          <t>攻撃</t>
        </is>
      </c>
      <c r="D523" s="9" t="inlineStr">
        <is>
          <t>強襲</t>
        </is>
      </c>
      <c r="E523" s="10" t="inlineStr">
        <is>
          <t>Raid</t>
        </is>
      </c>
      <c r="F523" s="7" t="inlineStr">
        <is>
          <t>207.2c</t>
        </is>
      </c>
      <c r="G523" s="8" t="inlineStr">
        <is>
          <t>このターンに自分がクリーチャーで攻撃していれば追加効果を得る。</t>
        </is>
      </c>
      <c r="H523" s="8" t="inlineStr">
        <is>
          <t>タルキール覇王譚 (2014)</t>
        </is>
      </c>
      <c r="I523" s="8" t="inlineStr">
        <is>
          <t>このターンに攻撃カードを使っていれば追加効果。攻撃の後に使うスキルの追い打ちとして扱いやすい。</t>
        </is>
      </c>
      <c r="J523" s="11" t="inlineStr">
        <is>
          <t>高</t>
        </is>
      </c>
      <c r="K523" s="8" t="inlineStr">
        <is>
          <t>攻撃カード</t>
        </is>
      </c>
      <c r="L523" s="12" t="inlineStr">
        <is>
          <t>◎</t>
        </is>
      </c>
      <c r="M523" s="13" t="inlineStr">
        <is>
          <t>【今回実装：このターン自分のモンスターが攻撃した】今回実装 条件 allyAttackedThisTurn に統合（#350）</t>
        </is>
      </c>
    </row>
    <row r="524" ht="29" customHeight="1">
      <c r="A524" s="7" t="n">
        <v>523</v>
      </c>
      <c r="B524" s="8" t="inlineStr">
        <is>
          <t>能力語</t>
        </is>
      </c>
      <c r="C524" s="8" t="inlineStr">
        <is>
          <t>強化</t>
        </is>
      </c>
      <c r="D524" s="9" t="inlineStr">
        <is>
          <t>結集</t>
        </is>
      </c>
      <c r="E524" s="10" t="inlineStr">
        <is>
          <t>Rally</t>
        </is>
      </c>
      <c r="F524" s="7" t="inlineStr">
        <is>
          <t>207.2c</t>
        </is>
      </c>
      <c r="G524" s="8" t="inlineStr">
        <is>
          <t>このクリーチャーか他の同盟者が自分の戦場に出るたびに、自軍全体に効果を与える。</t>
        </is>
      </c>
      <c r="H524" s="8" t="inlineStr">
        <is>
          <t>戦乱のゼンディカー (2015)</t>
        </is>
      </c>
      <c r="I524" s="8" t="inlineStr">
        <is>
          <t>味方ミニオンを出すたびに味方全体へバフ。展開と全体強化を組み合わせる。</t>
        </is>
      </c>
      <c r="J524" s="11" t="inlineStr">
        <is>
          <t>高</t>
        </is>
      </c>
      <c r="K524" s="8" t="inlineStr">
        <is>
          <t>ユニット展開</t>
        </is>
      </c>
      <c r="L524" s="12" t="inlineStr">
        <is>
          <t>◎</t>
        </is>
      </c>
      <c r="M524" s="13" t="inlineStr">
        <is>
          <t>【今回実装：自分のモンスターが出るたび・自分のモンスター全体】今回の要素で作れる：出るたび＋対象『自分のモンスター全体』</t>
        </is>
      </c>
    </row>
    <row r="525" ht="29" customHeight="1">
      <c r="A525" s="7" t="n">
        <v>524</v>
      </c>
      <c r="B525" s="8" t="inlineStr">
        <is>
          <t>能力語</t>
        </is>
      </c>
      <c r="C525" s="8" t="inlineStr">
        <is>
          <t>墓地利用</t>
        </is>
      </c>
      <c r="D525" s="9" t="inlineStr">
        <is>
          <t>相続</t>
        </is>
      </c>
      <c r="E525" s="10" t="inlineStr">
        <is>
          <t>Renew</t>
        </is>
      </c>
      <c r="F525" s="7" t="inlineStr">
        <is>
          <t>207.2c</t>
        </is>
      </c>
      <c r="G525" s="8" t="inlineStr">
        <is>
          <t>墓地にあるこのカードを追放することで起動できる能力。</t>
        </is>
      </c>
      <c r="H525" s="8" t="inlineStr">
        <is>
          <t>タルキール：龍嵐録 (2025)</t>
        </is>
      </c>
      <c r="I525" s="8" t="inlineStr">
        <is>
          <t>捨て札にあるこのカードを廃棄して追加効果。使った後にもう一度価値があるカードになる。</t>
        </is>
      </c>
      <c r="J525" s="11" t="inlineStr">
        <is>
          <t>高</t>
        </is>
      </c>
      <c r="K525" s="8" t="inlineStr">
        <is>
          <t>捨て札・廃棄</t>
        </is>
      </c>
      <c r="L525" s="12" t="inlineStr">
        <is>
          <t>△</t>
        </is>
      </c>
      <c r="M525" s="13" t="inlineStr">
        <is>
          <t>#487魂力の捨て札版。捨て札から除外して効果。行動追加が要る</t>
        </is>
      </c>
    </row>
    <row r="526" ht="25" customHeight="1">
      <c r="A526" s="7" t="n">
        <v>525</v>
      </c>
      <c r="B526" s="8" t="inlineStr">
        <is>
          <t>能力語</t>
        </is>
      </c>
      <c r="C526" s="8" t="inlineStr">
        <is>
          <t>条件ボーナス</t>
        </is>
      </c>
      <c r="D526" s="9" t="inlineStr">
        <is>
          <t>紛争</t>
        </is>
      </c>
      <c r="E526" s="10" t="inlineStr">
        <is>
          <t>Revolt</t>
        </is>
      </c>
      <c r="F526" s="7" t="inlineStr">
        <is>
          <t>207.2c</t>
        </is>
      </c>
      <c r="G526" s="8" t="inlineStr">
        <is>
          <t>このターンに自分のパーマネントが戦場を離れていれば追加効果を得る。</t>
        </is>
      </c>
      <c r="H526" s="8" t="inlineStr">
        <is>
          <t>霊気紛争 (2017)</t>
        </is>
      </c>
      <c r="I526" s="8" t="inlineStr">
        <is>
          <t>このターンに自分の場のカードが消えていれば追加効果。生け贄や自壊するカードと組み合わせる。</t>
        </is>
      </c>
      <c r="J526" s="11" t="inlineStr">
        <is>
          <t>高</t>
        </is>
      </c>
      <c r="K526" s="8" t="inlineStr">
        <is>
          <t>場に残るカード</t>
        </is>
      </c>
      <c r="L526" s="12" t="inlineStr">
        <is>
          <t>◎</t>
        </is>
      </c>
      <c r="M526" s="13" t="inlineStr">
        <is>
          <t>【今回実装：このターンにモンスターが破壊された】条件 monsterDestroyedThisTurn で近似（破壊のみ。バウンスは数えない）</t>
        </is>
      </c>
    </row>
    <row r="527" ht="29" customHeight="1">
      <c r="A527" s="7" t="n">
        <v>526</v>
      </c>
      <c r="B527" s="8" t="inlineStr">
        <is>
          <t>能力語</t>
        </is>
      </c>
      <c r="C527" s="8" t="inlineStr">
        <is>
          <t>多人数・交流</t>
        </is>
      </c>
      <c r="D527" s="9" t="inlineStr">
        <is>
          <t>秘密会議</t>
        </is>
      </c>
      <c r="E527" s="10" t="inlineStr">
        <is>
          <t>Secret council</t>
        </is>
      </c>
      <c r="F527" s="7" t="inlineStr">
        <is>
          <t>207.2c</t>
        </is>
      </c>
      <c r="G527" s="8" t="inlineStr">
        <is>
          <t>各プレイヤーが秘密裏に投票し、同時に公開して結果を決める。</t>
        </is>
      </c>
      <c r="H527" s="8" t="inlineStr">
        <is>
          <t>指輪物語：中つ国の伝承 統率者デッキ (2023)</t>
        </is>
      </c>
      <c r="I527" s="8" t="inlineStr">
        <is>
          <t>全員が非公開で投票して同時に公開する。デジタルなら秘密投票を簡単に実装でき、心理戦を生む。</t>
        </is>
      </c>
      <c r="J527" s="11" t="inlineStr">
        <is>
          <t>中</t>
        </is>
      </c>
      <c r="K527" s="8" t="inlineStr">
        <is>
          <t>多人数/選択UI</t>
        </is>
      </c>
      <c r="L527" s="12" t="inlineStr">
        <is>
          <t>×</t>
        </is>
      </c>
      <c r="M527" s="13" t="inlineStr">
        <is>
          <t>多人数投票前提</t>
        </is>
      </c>
    </row>
    <row r="528" ht="29" customHeight="1">
      <c r="A528" s="7" t="n">
        <v>527</v>
      </c>
      <c r="B528" s="8" t="inlineStr">
        <is>
          <t>能力語</t>
        </is>
      </c>
      <c r="C528" s="8" t="inlineStr">
        <is>
          <t>墓地利用</t>
        </is>
      </c>
      <c r="D528" s="9" t="inlineStr">
        <is>
          <t>魔巧</t>
        </is>
      </c>
      <c r="E528" s="10" t="inlineStr">
        <is>
          <t>Spell mastery</t>
        </is>
      </c>
      <c r="F528" s="7" t="inlineStr">
        <is>
          <t>207.2c</t>
        </is>
      </c>
      <c r="G528" s="8" t="inlineStr">
        <is>
          <t>自分の墓地にインスタントやソーサリーが2枚以上あれば追加効果を得る。</t>
        </is>
      </c>
      <c r="H528" s="8" t="inlineStr">
        <is>
          <t>マジック・オリジン (2015)</t>
        </is>
      </c>
      <c r="I528" s="8" t="inlineStr">
        <is>
          <t>捨て札にスキルカードが2枚以上あれば追加効果。序盤から満たしやすい軽めの閾値。</t>
        </is>
      </c>
      <c r="J528" s="11" t="inlineStr">
        <is>
          <t>高</t>
        </is>
      </c>
      <c r="K528" s="8" t="inlineStr">
        <is>
          <t>捨て札ゾーン</t>
        </is>
      </c>
      <c r="L528" s="12" t="inlineStr">
        <is>
          <t>◎</t>
        </is>
      </c>
      <c r="M528" s="13" t="inlineStr">
        <is>
          <t>【今回実装：条件『捨て札にスキルが2枚以上』（`skillsInDiscard`・バッチA）】（審査時は○）条件『捨て札にスキルが2枚以上』倍率0.85（満たしやすい）</t>
        </is>
      </c>
    </row>
    <row r="529" ht="33" customHeight="1">
      <c r="A529" s="7" t="n">
        <v>528</v>
      </c>
      <c r="B529" s="8" t="inlineStr">
        <is>
          <t>能力語</t>
        </is>
      </c>
      <c r="C529" s="8" t="inlineStr">
        <is>
          <t>コスト・リソース</t>
        </is>
      </c>
      <c r="D529" s="9" t="inlineStr">
        <is>
          <t>奮励</t>
        </is>
      </c>
      <c r="E529" s="10" t="inlineStr">
        <is>
          <t>Strive</t>
        </is>
      </c>
      <c r="F529" s="7" t="inlineStr">
        <is>
          <t>207.2c</t>
        </is>
      </c>
      <c r="G529" s="10" t="inlineStr">
        <is>
          <t>1つ目より後の対象1つにつき追加コストを払えば、対象を増やせる。</t>
        </is>
      </c>
      <c r="H529" s="8" t="inlineStr">
        <is>
          <t>ニクスへの旅 (2014)</t>
        </is>
      </c>
      <c r="I529" s="8" t="inlineStr">
        <is>
          <t>追加エネルギーを払うごとに対象を1体増やせる。敵が複数いるCPU戦で特に柔軟に使える。</t>
        </is>
      </c>
      <c r="J529" s="11" t="inlineStr">
        <is>
          <t>高</t>
        </is>
      </c>
      <c r="K529" s="8" t="inlineStr">
        <is>
          <t>対象指定</t>
        </is>
      </c>
      <c r="L529" s="12" t="inlineStr">
        <is>
          <t>△</t>
        </is>
      </c>
      <c r="M529" s="13" t="inlineStr">
        <is>
          <t>追加コストで対象数増加。エナジー可変払いの仕組みが要り重い</t>
        </is>
      </c>
    </row>
    <row r="530" ht="29" customHeight="1">
      <c r="A530" s="7" t="n">
        <v>529</v>
      </c>
      <c r="B530" s="8" t="inlineStr">
        <is>
          <t>能力語</t>
        </is>
      </c>
      <c r="C530" s="8" t="inlineStr">
        <is>
          <t>条件ボーナス</t>
        </is>
      </c>
      <c r="D530" s="9" t="inlineStr">
        <is>
          <t>生存</t>
        </is>
      </c>
      <c r="E530" s="10" t="inlineStr">
        <is>
          <t>Survival</t>
        </is>
      </c>
      <c r="F530" s="7" t="inlineStr">
        <is>
          <t>207.2c</t>
        </is>
      </c>
      <c r="G530" s="8" t="inlineStr">
        <is>
          <t>自分の第2メイン・フェイズの開始時に、このクリーチャーがタップ状態なら誘発する。</t>
        </is>
      </c>
      <c r="H530" s="8" t="inlineStr">
        <is>
          <t>ダスクモーン：戦慄の館 (2024)</t>
        </is>
      </c>
      <c r="I530" s="8" t="inlineStr">
        <is>
          <t>ターン終了時にこのユニットが行動済みなら追加効果。行動させつつ生き残らせる動機を作る。</t>
        </is>
      </c>
      <c r="J530" s="11" t="inlineStr">
        <is>
          <t>高</t>
        </is>
      </c>
      <c r="K530" s="8" t="inlineStr">
        <is>
          <t>行動済みフラグ</t>
        </is>
      </c>
      <c r="L530" s="12" t="inlineStr">
        <is>
          <t>◎</t>
        </is>
      </c>
      <c r="M530" s="13" t="inlineStr">
        <is>
          <t>【今回実装：このターン自分のモンスターが攻撃した】条件 allyAttackedThisTurn で近似（「このモンスターが」でなく自分のモンスター）</t>
        </is>
      </c>
    </row>
    <row r="531" ht="25" customHeight="1">
      <c r="A531" s="7" t="n">
        <v>530</v>
      </c>
      <c r="B531" s="8" t="inlineStr">
        <is>
          <t>能力語</t>
        </is>
      </c>
      <c r="C531" s="8" t="inlineStr">
        <is>
          <t>コスト・リソース</t>
        </is>
      </c>
      <c r="D531" s="9" t="inlineStr">
        <is>
          <t>掃引</t>
        </is>
      </c>
      <c r="E531" s="10" t="inlineStr">
        <is>
          <t>Sweep</t>
        </is>
      </c>
      <c r="F531" s="7" t="inlineStr">
        <is>
          <t>207.2c</t>
        </is>
      </c>
      <c r="G531" s="8" t="inlineStr">
        <is>
          <t>特定の基本土地タイプの土地を好きな数だけ手札に戻し、その数で効果量が変わる。</t>
        </is>
      </c>
      <c r="H531" s="8" t="inlineStr">
        <is>
          <t>神河救済 (2005)</t>
        </is>
      </c>
      <c r="I531" s="8" t="inlineStr">
        <is>
          <t>場の資源カードを手札に戻した数だけ効果が増える。テンポを犠牲にして爆発力を得る。</t>
        </is>
      </c>
      <c r="J531" s="11" t="inlineStr">
        <is>
          <t>中</t>
        </is>
      </c>
      <c r="K531" s="8" t="inlineStr">
        <is>
          <t>資源カード</t>
        </is>
      </c>
      <c r="L531" s="12" t="inlineStr">
        <is>
          <t>×</t>
        </is>
      </c>
      <c r="M531" s="13" t="inlineStr">
        <is>
          <t>土地前提</t>
        </is>
      </c>
    </row>
    <row r="532" ht="25" customHeight="1">
      <c r="A532" s="7" t="n">
        <v>531</v>
      </c>
      <c r="B532" s="8" t="inlineStr">
        <is>
          <t>能力語</t>
        </is>
      </c>
      <c r="C532" s="8" t="inlineStr">
        <is>
          <t>多人数・交流</t>
        </is>
      </c>
      <c r="D532" s="9" t="inlineStr">
        <is>
          <t>誘引</t>
        </is>
      </c>
      <c r="E532" s="10" t="inlineStr">
        <is>
          <t>Tempting offer</t>
        </is>
      </c>
      <c r="F532" s="7" t="inlineStr">
        <is>
          <t>207.2c</t>
        </is>
      </c>
      <c r="G532" s="8" t="inlineStr">
        <is>
          <t>各対戦相手も同じ効果を受けるか選び、受けた人数分だけ自分も効果を追加で得る。</t>
        </is>
      </c>
      <c r="H532" s="8" t="inlineStr">
        <is>
          <t>統率者2013 (2013)</t>
        </is>
      </c>
      <c r="I532" s="8" t="inlineStr">
        <is>
          <t>相手にも恩恵を受けるか選ばせ、受けた人数分だけ自分も追加で得る。多人数戦での交渉材料になる。</t>
        </is>
      </c>
      <c r="J532" s="11" t="inlineStr">
        <is>
          <t>中</t>
        </is>
      </c>
      <c r="K532" s="8" t="inlineStr">
        <is>
          <t>多人数</t>
        </is>
      </c>
      <c r="L532" s="12" t="inlineStr">
        <is>
          <t>×</t>
        </is>
      </c>
      <c r="M532" s="13" t="inlineStr">
        <is>
          <t>多人数前提</t>
        </is>
      </c>
    </row>
    <row r="533" ht="29" customHeight="1">
      <c r="A533" s="7" t="n">
        <v>532</v>
      </c>
      <c r="B533" s="8" t="inlineStr">
        <is>
          <t>能力語</t>
        </is>
      </c>
      <c r="C533" s="8" t="inlineStr">
        <is>
          <t>墓地利用</t>
        </is>
      </c>
      <c r="D533" s="9" t="inlineStr">
        <is>
          <t>スレッショルド</t>
        </is>
      </c>
      <c r="E533" s="10" t="inlineStr">
        <is>
          <t>Threshold</t>
        </is>
      </c>
      <c r="F533" s="7" t="inlineStr">
        <is>
          <t>207.2c</t>
        </is>
      </c>
      <c r="G533" s="8" t="inlineStr">
        <is>
          <t>自分の墓地にカードが7枚以上あれば追加効果を得る。</t>
        </is>
      </c>
      <c r="H533" s="8" t="inlineStr">
        <is>
          <t>オデッセイ (2001)</t>
        </is>
      </c>
      <c r="I533" s="8" t="inlineStr">
        <is>
          <t>捨て札7枚以上で強化。StSは循環で捨て札がリセットされるので、廃棄ゾーンで数えるなどの調整が必要。</t>
        </is>
      </c>
      <c r="J533" s="11" t="inlineStr">
        <is>
          <t>高</t>
        </is>
      </c>
      <c r="K533" s="8" t="inlineStr">
        <is>
          <t>捨て札ゾーン</t>
        </is>
      </c>
      <c r="L533" s="12" t="inlineStr">
        <is>
          <t>◎</t>
        </is>
      </c>
      <c r="M533" s="13" t="inlineStr">
        <is>
          <t>【今回実装：捨て札が10枚以上】今回実装 条件『捨て札が10枚以上』bigDiscard</t>
        </is>
      </c>
    </row>
    <row r="534" ht="25" customHeight="1">
      <c r="A534" s="7" t="n">
        <v>533</v>
      </c>
      <c r="B534" s="8" t="inlineStr">
        <is>
          <t>能力語</t>
        </is>
      </c>
      <c r="C534" s="8" t="inlineStr">
        <is>
          <t>墓地利用</t>
        </is>
      </c>
      <c r="D534" s="9" t="inlineStr">
        <is>
          <t>宿根</t>
        </is>
      </c>
      <c r="E534" s="10" t="inlineStr">
        <is>
          <t>Undergrowth</t>
        </is>
      </c>
      <c r="F534" s="7" t="inlineStr">
        <is>
          <t>207.2c</t>
        </is>
      </c>
      <c r="G534" s="8" t="inlineStr">
        <is>
          <t>自分の墓地にあるクリーチャー・カードの枚数に応じて効果量が変わる。</t>
        </is>
      </c>
      <c r="H534" s="8" t="inlineStr">
        <is>
          <t>ラヴニカのギルド (2018)</t>
        </is>
      </c>
      <c r="I534" s="8" t="inlineStr">
        <is>
          <t>捨て札のユニットカード枚数で効果量が増える。ユニット中心のデッキの後半を強化する。</t>
        </is>
      </c>
      <c r="J534" s="11" t="inlineStr">
        <is>
          <t>高</t>
        </is>
      </c>
      <c r="K534" s="8" t="inlineStr">
        <is>
          <t>捨て札ゾーン</t>
        </is>
      </c>
      <c r="L534" s="12" t="inlineStr">
        <is>
          <t>◎</t>
        </is>
      </c>
      <c r="M534" s="13" t="inlineStr">
        <is>
          <t>【今回実装：修飾『捨て札のモンスター1枚につき』（`perDiscardMonster`・バッチA）】（審査時は○）修飾『捨て札のモンスター1枚につき効果量+N（上限5枚）』。比例の仕組みが要る</t>
        </is>
      </c>
    </row>
    <row r="535" ht="25" customHeight="1">
      <c r="A535" s="7" t="n">
        <v>534</v>
      </c>
      <c r="B535" s="8" t="inlineStr">
        <is>
          <t>能力語</t>
        </is>
      </c>
      <c r="C535" s="8" t="inlineStr">
        <is>
          <t>強化</t>
        </is>
      </c>
      <c r="D535" s="9" t="inlineStr">
        <is>
          <t>雄姿</t>
        </is>
      </c>
      <c r="E535" s="10" t="inlineStr">
        <is>
          <t>Valiant</t>
        </is>
      </c>
      <c r="F535" s="7" t="inlineStr">
        <is>
          <t>207.2c</t>
        </is>
      </c>
      <c r="G535" s="8" t="inlineStr">
        <is>
          <t>各ターンに初めて自分の呪文や能力の対象になったときに誘発する。</t>
        </is>
      </c>
      <c r="H535" s="8" t="inlineStr">
        <is>
          <t>ブルームバロウ (2024)</t>
        </is>
      </c>
      <c r="I535" s="8" t="inlineStr">
        <is>
          <t>各ターン最初に味方の強化の対象になったとき追加効果。対象を取るサポートカードの価値を上げる。</t>
        </is>
      </c>
      <c r="J535" s="11" t="inlineStr">
        <is>
          <t>高</t>
        </is>
      </c>
      <c r="K535" s="8" t="inlineStr">
        <is>
          <t>対象指定</t>
        </is>
      </c>
      <c r="L535" s="12" t="inlineStr">
        <is>
          <t>△</t>
        </is>
      </c>
      <c r="M535" s="13" t="inlineStr">
        <is>
          <t>#508英雄的のターン1回版として同じ仕組みで出せる</t>
        </is>
      </c>
    </row>
    <row r="536" ht="25" customHeight="1">
      <c r="A536" s="7" t="n">
        <v>535</v>
      </c>
      <c r="B536" s="8" t="inlineStr">
        <is>
          <t>能力語</t>
        </is>
      </c>
      <c r="C536" s="8" t="inlineStr">
        <is>
          <t>条件ボーナス</t>
        </is>
      </c>
      <c r="D536" s="9" t="inlineStr">
        <is>
          <t>ヴォイド</t>
        </is>
      </c>
      <c r="E536" s="10" t="inlineStr">
        <is>
          <t>Void</t>
        </is>
      </c>
      <c r="F536" s="7" t="inlineStr">
        <is>
          <t>207.2c</t>
        </is>
      </c>
      <c r="G536" s="8" t="inlineStr">
        <is>
          <t>このターンに土地でないパーマネントが戦場を離れたか、呪文が歪曲されていれば追加効果を得る。</t>
        </is>
      </c>
      <c r="H536" s="8" t="inlineStr">
        <is>
          <t>久遠の終端 (2025)</t>
        </is>
      </c>
      <c r="I536" s="8" t="inlineStr">
        <is>
          <t>このターンに何らかのカードが場から消えたか特殊な方法で使われていれば追加効果。除去した後の追撃に使える。</t>
        </is>
      </c>
      <c r="J536" s="11" t="inlineStr">
        <is>
          <t>高</t>
        </is>
      </c>
      <c r="K536" s="8" t="inlineStr">
        <is>
          <t>場に残るカード</t>
        </is>
      </c>
      <c r="L536" s="12" t="inlineStr">
        <is>
          <t>◎</t>
        </is>
      </c>
      <c r="M536" s="13" t="inlineStr">
        <is>
          <t>【今回実装：このターンにモンスターが破壊された】条件 monsterDestroyedThisTurn に統合（#271）</t>
        </is>
      </c>
    </row>
    <row r="537" ht="29" customHeight="1">
      <c r="A537" s="7" t="n">
        <v>536</v>
      </c>
      <c r="B537" s="8" t="inlineStr">
        <is>
          <t>能力語</t>
        </is>
      </c>
      <c r="C537" s="8" t="inlineStr">
        <is>
          <t>多人数・交流</t>
        </is>
      </c>
      <c r="D537" s="9" t="inlineStr">
        <is>
          <t>議決</t>
        </is>
      </c>
      <c r="E537" s="10" t="inlineStr">
        <is>
          <t>Will of the council</t>
        </is>
      </c>
      <c r="F537" s="7" t="inlineStr">
        <is>
          <t>207.2c</t>
        </is>
      </c>
      <c r="G537" s="8" t="inlineStr">
        <is>
          <t>各プレイヤーが選択肢に投票し、最多得票の効果が起こる。</t>
        </is>
      </c>
      <c r="H537" s="8" t="inlineStr">
        <is>
          <t>コンスピラシー (2014)</t>
        </is>
      </c>
      <c r="I537" s="8" t="inlineStr">
        <is>
          <t>全員投票の多数決で効果を決める。1対1で使う場合は、同数時の処理をあらかじめ決めておく。</t>
        </is>
      </c>
      <c r="J537" s="11" t="inlineStr">
        <is>
          <t>中</t>
        </is>
      </c>
      <c r="K537" s="8" t="inlineStr">
        <is>
          <t>多人数/選択UI</t>
        </is>
      </c>
      <c r="L537" s="12" t="inlineStr">
        <is>
          <t>×</t>
        </is>
      </c>
      <c r="M537" s="13" t="inlineStr">
        <is>
          <t>多人数投票前提</t>
        </is>
      </c>
    </row>
    <row r="538" ht="29" customHeight="1">
      <c r="A538" s="7" t="n">
        <v>537</v>
      </c>
      <c r="B538" s="8" t="inlineStr">
        <is>
          <t>能力語</t>
        </is>
      </c>
      <c r="C538" s="8" t="inlineStr">
        <is>
          <t>条件ボーナス</t>
        </is>
      </c>
      <c r="D538" s="9" t="inlineStr">
        <is>
          <t>色彩</t>
        </is>
      </c>
      <c r="E538" s="10" t="inlineStr">
        <is>
          <t>Vivid</t>
        </is>
      </c>
      <c r="F538" s="7" t="inlineStr">
        <is>
          <t>207.2c</t>
        </is>
      </c>
      <c r="G538" s="8" t="inlineStr">
        <is>
          <t>自分のパーマネントの色の種類数（0〜5）を数え、その数に応じて効果が変わる。</t>
        </is>
      </c>
      <c r="H538" s="8" t="inlineStr">
        <is>
          <t>ローウィンの昏明 (2026)</t>
        </is>
      </c>
      <c r="I538" s="8" t="inlineStr">
        <is>
          <t>場にあるカードの属性の種類数で効果が伸びる。多属性構築の報酬で、上限が5なのでポイント計算しやすい。</t>
        </is>
      </c>
      <c r="J538" s="11" t="inlineStr">
        <is>
          <t>高</t>
        </is>
      </c>
      <c r="K538" s="8" t="inlineStr">
        <is>
          <t>カード属性</t>
        </is>
      </c>
      <c r="L538" s="12" t="inlineStr">
        <is>
          <t>×</t>
        </is>
      </c>
      <c r="M538" s="13" t="inlineStr">
        <is>
          <t>色・属性前提</t>
        </is>
      </c>
    </row>
    <row r="539" ht="29" customHeight="1">
      <c r="A539" s="7" t="n">
        <v>538</v>
      </c>
      <c r="B539" s="8" t="inlineStr">
        <is>
          <t>能力語</t>
        </is>
      </c>
      <c r="C539" s="8" t="inlineStr">
        <is>
          <t>条件ボーナス</t>
        </is>
      </c>
      <c r="D539" s="9" t="inlineStr">
        <is>
          <t>離脱</t>
        </is>
      </c>
      <c r="E539" s="10" t="inlineStr">
        <is>
          <t>Disappear</t>
        </is>
      </c>
      <c r="F539" s="7" t="inlineStr">
        <is>
          <t>207.2c</t>
        </is>
      </c>
      <c r="G539" s="8" t="inlineStr">
        <is>
          <t>自分のターンに自分のパーマネントが戦場を離れていれば誘発・追加効果を得る。</t>
        </is>
      </c>
      <c r="H539" s="8" t="inlineStr">
        <is>
          <t>ミュータント タートルズ (2026)</t>
        </is>
      </c>
      <c r="I539" s="8" t="inlineStr">
        <is>
          <t>自分のターン中に自分の場のカードが消えていれば、ターン終了時に報酬。自壊するカードや一時的な設置物と相性が良い。</t>
        </is>
      </c>
      <c r="J539" s="11" t="inlineStr">
        <is>
          <t>高</t>
        </is>
      </c>
      <c r="K539" s="8" t="inlineStr">
        <is>
          <t>場に残るカード</t>
        </is>
      </c>
      <c r="L539" s="12" t="inlineStr">
        <is>
          <t>◎</t>
        </is>
      </c>
      <c r="M539" s="13" t="inlineStr">
        <is>
          <t>【今回実装：このターンにモンスターが破壊された】条件 monsterDestroyedThisTurn で近似（#525と同じ）</t>
        </is>
      </c>
    </row>
    <row r="540" ht="29" customHeight="1">
      <c r="A540" s="7" t="n">
        <v>539</v>
      </c>
      <c r="B540" s="8" t="inlineStr">
        <is>
          <t>能力語</t>
        </is>
      </c>
      <c r="C540" s="8" t="inlineStr">
        <is>
          <t>条件ボーナス</t>
        </is>
      </c>
      <c r="D540" s="9" t="inlineStr">
        <is>
          <t>注入</t>
        </is>
      </c>
      <c r="E540" s="10" t="inlineStr">
        <is>
          <t>Infusion</t>
        </is>
      </c>
      <c r="F540" s="7" t="inlineStr">
        <is>
          <t>207.2c</t>
        </is>
      </c>
      <c r="G540" s="8" t="inlineStr">
        <is>
          <t>このターンに自分がライフを得ていれば追加効果を得る。量は問わない。</t>
        </is>
      </c>
      <c r="H540" s="8" t="inlineStr">
        <is>
          <t>ストリクスヘイヴンの秘密 (2026)</t>
        </is>
      </c>
      <c r="I540" s="8" t="inlineStr">
        <is>
          <t>このターンにHPを回復していれば追加効果。回復量を問わないので、小さな回復カードの価値を上げる。</t>
        </is>
      </c>
      <c r="J540" s="11" t="inlineStr">
        <is>
          <t>高</t>
        </is>
      </c>
      <c r="K540" s="10" t="inlineStr">
        <is>
          <t>HP回復</t>
        </is>
      </c>
      <c r="L540" s="12" t="inlineStr">
        <is>
          <t>◎</t>
        </is>
      </c>
      <c r="M540" s="13" t="inlineStr">
        <is>
          <t>【今回実装：条件『このターン自分が回復した』（`healedThisTurn`・バッチA）】（審査時は○）次回：条件『このターン自分が回復した』</t>
        </is>
      </c>
    </row>
    <row r="541" ht="41.5" customHeight="1">
      <c r="A541" s="7" t="n">
        <v>540</v>
      </c>
      <c r="B541" s="8" t="inlineStr">
        <is>
          <t>能力語</t>
        </is>
      </c>
      <c r="C541" s="8" t="inlineStr">
        <is>
          <t>条件ボーナス</t>
        </is>
      </c>
      <c r="D541" s="9" t="inlineStr">
        <is>
          <t>演目</t>
        </is>
      </c>
      <c r="E541" s="10" t="inlineStr">
        <is>
          <t>Opus</t>
        </is>
      </c>
      <c r="F541" s="7" t="inlineStr">
        <is>
          <t>207.2c</t>
        </is>
      </c>
      <c r="G541" s="8" t="inlineStr">
        <is>
          <t>インスタントかソーサリーを唱えるたびに誘発し、5マナ以上使っていれば効果が強化される。</t>
        </is>
      </c>
      <c r="H541" s="8" t="inlineStr">
        <is>
          <t>ストリクスヘイヴンの秘密 (2026)</t>
        </is>
      </c>
      <c r="I541" s="8" t="inlineStr">
        <is>
          <t>スキルカード使用時に発動し、コスト3以上なら強化版になる。高コストカードへの報酬で、エネルギーを大量に得るデッキを支える。</t>
        </is>
      </c>
      <c r="J541" s="11" t="inlineStr">
        <is>
          <t>高</t>
        </is>
      </c>
      <c r="K541" s="8" t="inlineStr">
        <is>
          <t>コスト値</t>
        </is>
      </c>
      <c r="L541" s="12" t="inlineStr">
        <is>
          <t>◎</t>
        </is>
      </c>
      <c r="M541" s="13" t="inlineStr">
        <is>
          <t>【今回実装：タイミング『コスト3以上のカードを使うたび』（`bigCardPlayed`・バッチA）】（審査時は○）タイミング『コスト3以上のカードを使うたび』。カードを使うたびの絞り込み版</t>
        </is>
      </c>
    </row>
    <row r="542" ht="29" customHeight="1">
      <c r="A542" s="7" t="n">
        <v>541</v>
      </c>
      <c r="B542" s="8" t="inlineStr">
        <is>
          <t>能力語</t>
        </is>
      </c>
      <c r="C542" s="8" t="inlineStr">
        <is>
          <t>条件ボーナス</t>
        </is>
      </c>
      <c r="D542" s="9" t="inlineStr">
        <is>
          <t>即妙</t>
        </is>
      </c>
      <c r="E542" s="10" t="inlineStr">
        <is>
          <t>Repartee</t>
        </is>
      </c>
      <c r="F542" s="7" t="inlineStr">
        <is>
          <t>207.2c</t>
        </is>
      </c>
      <c r="G542" s="8" t="inlineStr">
        <is>
          <t>クリーチャーを対象とするインスタントかソーサリーを唱えるたびに誘発する。</t>
        </is>
      </c>
      <c r="H542" s="8" t="inlineStr">
        <is>
          <t>ストリクスヘイヴンの秘密 (2026)</t>
        </is>
      </c>
      <c r="I542" s="8" t="inlineStr">
        <is>
          <t>ユニットを対象にするスキルを使うたびに発動する。敵味方どちらを対象にしてもよいので汎用性が高い。</t>
        </is>
      </c>
      <c r="J542" s="11" t="inlineStr">
        <is>
          <t>高</t>
        </is>
      </c>
      <c r="K542" s="8" t="inlineStr">
        <is>
          <t>対象指定</t>
        </is>
      </c>
      <c r="L542" s="12" t="inlineStr">
        <is>
          <t>×</t>
        </is>
      </c>
      <c r="M542" s="13" t="inlineStr">
        <is>
          <t>#508英雄的とほぼ同じ</t>
        </is>
      </c>
    </row>
    <row r="543" ht="33" customHeight="1">
      <c r="A543" s="7" t="n">
        <v>542</v>
      </c>
      <c r="B543" s="8" t="inlineStr">
        <is>
          <t>能力語</t>
        </is>
      </c>
      <c r="C543" s="8" t="inlineStr">
        <is>
          <t>条件ボーナス</t>
        </is>
      </c>
      <c r="D543" s="9" t="inlineStr">
        <is>
          <t>連邦</t>
        </is>
      </c>
      <c r="E543" s="10" t="inlineStr">
        <is>
          <t>Federation</t>
        </is>
      </c>
      <c r="F543" s="7" t="n"/>
      <c r="G543" s="8" t="inlineStr">
        <is>
          <t>ボーグ以外の自分のクリーチャーが持つクリーチャー・タイプの種類数を参照する。</t>
        </is>
      </c>
      <c r="H543" s="8" t="inlineStr">
        <is>
          <t>スター・トレック (2026年11月発売予定)</t>
        </is>
      </c>
      <c r="I543" s="8" t="inlineStr">
        <is>
          <t>味方ミニオンの系統の種類数で効果量が伸びる。多様な編成を報酬にし、単一系統デッキとの差別化になる。</t>
        </is>
      </c>
      <c r="J543" s="11" t="inlineStr">
        <is>
          <t>高</t>
        </is>
      </c>
      <c r="K543" s="8" t="inlineStr">
        <is>
          <t>ユニットの系統</t>
        </is>
      </c>
      <c r="L543" s="12" t="inlineStr">
        <is>
          <t>×</t>
        </is>
      </c>
      <c r="M543" s="13" t="inlineStr">
        <is>
          <t>系統の仕組みが無い</t>
        </is>
      </c>
    </row>
    <row r="544" ht="29" customHeight="1">
      <c r="A544" s="7" t="n">
        <v>543</v>
      </c>
      <c r="B544" s="8" t="inlineStr">
        <is>
          <t>能力語</t>
        </is>
      </c>
      <c r="C544" s="8" t="inlineStr">
        <is>
          <t>条件ボーナス</t>
        </is>
      </c>
      <c r="D544" s="9" t="inlineStr">
        <is>
          <t>堕落</t>
        </is>
      </c>
      <c r="E544" s="10" t="inlineStr">
        <is>
          <t>Corrupted</t>
        </is>
      </c>
      <c r="F544" s="7" t="n"/>
      <c r="G544" s="8" t="inlineStr">
        <is>
          <t>対戦相手が毒カウンターを3つ以上持っていれば追加効果を得る。総合ルールの能力語一覧には非掲載。</t>
        </is>
      </c>
      <c r="H544" s="8" t="inlineStr">
        <is>
          <t>ファイレクシア：完全なる統一 (2023)</t>
        </is>
      </c>
      <c r="I544" s="8" t="inlineStr">
        <is>
          <t>相手の毒スタックが3以上なら追加効果。毒を勝利手段だけでなく閾値条件としても使える。</t>
        </is>
      </c>
      <c r="J544" s="11" t="inlineStr">
        <is>
          <t>高</t>
        </is>
      </c>
      <c r="K544" s="8" t="inlineStr">
        <is>
          <t>毒スタック</t>
        </is>
      </c>
      <c r="L544" s="12" t="inlineStr">
        <is>
          <t>◎</t>
        </is>
      </c>
      <c r="M544" s="13" t="inlineStr">
        <is>
          <t>【今回実装：条件『相手の毒が3以上』（`enemyPoisonHigh`・バッチA）】（審査時は○）条件『相手の毒が3（基）以上』倍率0.7。既存『相手が毒状態』の閾値版</t>
        </is>
      </c>
    </row>
    <row r="545" ht="29" customHeight="1">
      <c r="A545" s="7" t="n">
        <v>544</v>
      </c>
      <c r="B545" s="8" t="inlineStr">
        <is>
          <t>能力語</t>
        </is>
      </c>
      <c r="C545" s="8" t="inlineStr">
        <is>
          <t>多人数・交流</t>
        </is>
      </c>
      <c r="D545" s="9" t="inlineStr">
        <is>
          <t>プレインズウォーカーの議決</t>
        </is>
      </c>
      <c r="E545" s="10" t="inlineStr">
        <is>
          <t>Will of the Planeswalkers</t>
        </is>
      </c>
      <c r="F545" s="7" t="n"/>
      <c r="G545" s="8" t="inlineStr">
        <is>
          <t>プレインチェイスで、各自が次元移動か混沌かに投票し多い方が起こる。総合ルールの一覧には非掲載。</t>
        </is>
      </c>
      <c r="H545" s="8" t="inlineStr">
        <is>
          <t>機械兵団の進軍 統率者デッキ (2023)</t>
        </is>
      </c>
      <c r="I545" s="8" t="inlineStr">
        <is>
          <t>共有ルールカードを切り替えるか、その混沌効果を起こすかを全員で投票する。共有環境ルールの運用に使える。</t>
        </is>
      </c>
      <c r="J545" s="11" t="inlineStr">
        <is>
          <t>中</t>
        </is>
      </c>
      <c r="K545" s="8" t="inlineStr">
        <is>
          <t>共有ルールカード</t>
        </is>
      </c>
      <c r="L545" s="12" t="inlineStr">
        <is>
          <t>×</t>
        </is>
      </c>
      <c r="M545" s="13" t="inlineStr">
        <is>
          <t>多人数・共有ルールカード前提</t>
        </is>
      </c>
    </row>
    <row r="546" ht="29" customHeight="1">
      <c r="A546" s="7" t="n">
        <v>545</v>
      </c>
      <c r="B546" s="8" t="inlineStr">
        <is>
          <t>能力語</t>
        </is>
      </c>
      <c r="C546" s="8" t="inlineStr">
        <is>
          <t>反復・再利用</t>
        </is>
      </c>
      <c r="D546" s="9" t="inlineStr">
        <is>
          <t>ゴチ</t>
        </is>
      </c>
      <c r="E546" s="10" t="inlineStr">
        <is>
          <t>Gotcha!</t>
        </is>
      </c>
      <c r="F546" s="7" t="n"/>
      <c r="G546" s="8" t="inlineStr">
        <is>
          <t>銀枠のアンヒンジドで、相手が特定の言葉や行動をしたら墓地のこのカードを手札に戻せる。</t>
        </is>
      </c>
      <c r="H546" s="8" t="inlineStr">
        <is>
          <t>アンヒンジド (2004)</t>
        </is>
      </c>
      <c r="I546" s="8" t="inlineStr">
        <is>
          <t>相手が特定の行動（3枚目のカード使用など）をしたら捨て札から手札へ戻る。デジタルなら行動の監視を自動化できる。</t>
        </is>
      </c>
      <c r="J546" s="11" t="inlineStr">
        <is>
          <t>中</t>
        </is>
      </c>
      <c r="K546" s="8" t="inlineStr">
        <is>
          <t>行動トリガー</t>
        </is>
      </c>
      <c r="L546" s="12" t="inlineStr">
        <is>
          <t>×</t>
        </is>
      </c>
      <c r="M546" s="13" t="inlineStr">
        <is>
          <t>相手の行動監視で手札に戻るのは重い</t>
        </is>
      </c>
    </row>
    <row r="547" ht="25" customHeight="1">
      <c r="A547" s="7" t="n">
        <v>546</v>
      </c>
      <c r="B547" s="8" t="inlineStr">
        <is>
          <t>能力語</t>
        </is>
      </c>
      <c r="C547" s="8" t="inlineStr">
        <is>
          <t>多人数・交流</t>
        </is>
      </c>
      <c r="D547" s="9" t="inlineStr">
        <is>
          <t>英雄の報酬</t>
        </is>
      </c>
      <c r="E547" s="10" t="inlineStr">
        <is>
          <t>Hero's Reward</t>
        </is>
      </c>
      <c r="F547" s="7" t="n"/>
      <c r="G547" s="8" t="inlineStr">
        <is>
          <t>テーロスのチャレンジ・デッキのヒュドラの頭が持ち、倒されると各プレイヤーに報酬を与える。</t>
        </is>
      </c>
      <c r="H547" s="10" t="inlineStr">
        <is>
          <t>Face the Hydra (2013)</t>
        </is>
      </c>
      <c r="I547" s="8" t="inlineStr">
        <is>
          <t>協力戦ボスの部位を倒すと全員に回復やドローの報酬。部位破壊型のボス戦にそのまま使える。</t>
        </is>
      </c>
      <c r="J547" s="11" t="inlineStr">
        <is>
          <t>中</t>
        </is>
      </c>
      <c r="K547" s="8" t="inlineStr">
        <is>
          <t>ボス戦</t>
        </is>
      </c>
      <c r="L547" s="12" t="inlineStr">
        <is>
          <t>×</t>
        </is>
      </c>
      <c r="M547" s="13" t="inlineStr">
        <is>
          <t>協力ボス戦前提</t>
        </is>
      </c>
    </row>
    <row r="548" ht="25" customHeight="1">
      <c r="A548" s="7" t="n">
        <v>547</v>
      </c>
      <c r="B548" s="8" t="inlineStr">
        <is>
          <t>能力語</t>
        </is>
      </c>
      <c r="C548" s="8" t="inlineStr">
        <is>
          <t>強化</t>
        </is>
      </c>
      <c r="D548" s="9" t="inlineStr">
        <is>
          <t>パレード！（非公式訳）</t>
        </is>
      </c>
      <c r="E548" s="10" t="inlineStr">
        <is>
          <t>Parade!</t>
        </is>
      </c>
      <c r="F548" s="7" t="n"/>
      <c r="G548" s="8" t="inlineStr">
        <is>
          <t>銀枠のアンフィニティで、自軍を一列に並べ、前にいる数に応じて後ろのクリーチャーが強化される。</t>
        </is>
      </c>
      <c r="H548" s="8" t="inlineStr">
        <is>
          <t>アンフィニティ (2022)</t>
        </is>
      </c>
      <c r="I548" s="8" t="inlineStr">
        <is>
          <t>味方ミニオンに並び順を付け、後ろほど強化する。配置順が意味を持つ盤面ルールの入口になる。</t>
        </is>
      </c>
      <c r="J548" s="11" t="inlineStr">
        <is>
          <t>中</t>
        </is>
      </c>
      <c r="K548" s="8" t="inlineStr">
        <is>
          <t>ユニットの配置順</t>
        </is>
      </c>
      <c r="L548" s="12" t="inlineStr">
        <is>
          <t>×</t>
        </is>
      </c>
      <c r="M548" s="13" t="inlineStr">
        <is>
          <t>モンスターの並び順が無い</t>
        </is>
      </c>
    </row>
    <row r="549" ht="41.5" customHeight="1">
      <c r="A549" s="7" t="n">
        <v>548</v>
      </c>
      <c r="B549" s="8" t="inlineStr">
        <is>
          <t>能力語</t>
        </is>
      </c>
      <c r="C549" s="8" t="inlineStr">
        <is>
          <t>除去</t>
        </is>
      </c>
      <c r="D549" s="9" t="inlineStr">
        <is>
          <t>家族の集い（非公式訳）</t>
        </is>
      </c>
      <c r="E549" s="10" t="inlineStr">
        <is>
          <t>Family Gathering</t>
        </is>
      </c>
      <c r="F549" s="7" t="n"/>
      <c r="G549" s="10" t="inlineStr">
        <is>
          <t>2009年のホリデー配布カードの能力語。対象プレイヤーのクリーチャーが互いに無作為にダメージを与え合う。</t>
        </is>
      </c>
      <c r="H549" s="8" t="inlineStr">
        <is>
          <t>ホリデーギフトカード (2009)</t>
        </is>
      </c>
      <c r="I549" s="8" t="inlineStr">
        <is>
          <t>敵ユニット同士を同士討ちさせる全体除去。デジタルなら無作為な対象決定も演出しやすい。</t>
        </is>
      </c>
      <c r="J549" s="11" t="inlineStr">
        <is>
          <t>高</t>
        </is>
      </c>
      <c r="K549" s="8" t="inlineStr">
        <is>
          <t>複数ユニット</t>
        </is>
      </c>
      <c r="L549" s="12" t="inlineStr">
        <is>
          <t>◎</t>
        </is>
      </c>
      <c r="M549" s="13" t="inlineStr">
        <is>
          <t>【今回実装：効果『同士討ち』（`infight`・バッチB）】（審査時は○）効果『同士討ち』：相手モンスター全員が攻撃力ぶん互いにランダムな相手を殴る。20pt目安</t>
        </is>
      </c>
    </row>
    <row r="550" ht="45.5" customHeight="1">
      <c r="A550" s="7" t="n">
        <v>549</v>
      </c>
      <c r="B550" s="8" t="inlineStr">
        <is>
          <t>デジタル専用メカニズム</t>
        </is>
      </c>
      <c r="C550" s="8" t="inlineStr">
        <is>
          <t>成長・カウンター</t>
        </is>
      </c>
      <c r="D550" s="9" t="inlineStr">
        <is>
          <t>永久に</t>
        </is>
      </c>
      <c r="E550" s="10" t="inlineStr">
        <is>
          <t>Perpetually</t>
        </is>
      </c>
      <c r="F550" s="7" t="n"/>
      <c r="G550" s="8" t="inlineStr">
        <is>
          <t>効果を受けたカードは領域を移動しても変更が残り、ゲーム終了まで維持される。手札やライブラリーにあるカードも書き換えられる。</t>
        </is>
      </c>
      <c r="H550" s="10" t="inlineStr">
        <is>
          <t>Jumpstart: Historic Horizons (2021)</t>
        </is>
      </c>
      <c r="I550" s="8" t="inlineStr">
        <is>
          <t>このカードは永久に攻撃+2のように、捨て札や山札を巡っても消えない書き換えを導入する。デッキ循環型のStS構造と好相性で、持続分だけポイントを高くする。</t>
        </is>
      </c>
      <c r="J550" s="11" t="inlineStr">
        <is>
          <t>高</t>
        </is>
      </c>
      <c r="K550" s="8" t="inlineStr">
        <is>
          <t>カード個体ID管理</t>
        </is>
      </c>
      <c r="L550" s="12" t="inlineStr">
        <is>
          <t>△</t>
        </is>
      </c>
      <c r="M550" s="13" t="inlineStr">
        <is>
          <t>汎用の永久書き換えは重い。『このカードの数値+N（対戦中ずっと）』に絞れば強度(#554)と同じ仕組みで足りる</t>
        </is>
      </c>
    </row>
    <row r="551" ht="41.5" customHeight="1">
      <c r="A551" s="7" t="n">
        <v>550</v>
      </c>
      <c r="B551" s="8" t="inlineStr">
        <is>
          <t>デジタル専用メカニズム</t>
        </is>
      </c>
      <c r="C551" s="8" t="inlineStr">
        <is>
          <t>ドロー・手札</t>
        </is>
      </c>
      <c r="D551" s="9" t="inlineStr">
        <is>
          <t>抽出</t>
        </is>
      </c>
      <c r="E551" s="10" t="inlineStr">
        <is>
          <t>Seek</t>
        </is>
      </c>
      <c r="F551" s="7" t="n"/>
      <c r="G551" s="8" t="inlineStr">
        <is>
          <t>条件に合うカードをライブラリーから無作為に1枚選んで手札に加える。プレイヤーは山札を見ず、シャッフルもしない。</t>
        </is>
      </c>
      <c r="H551" s="10" t="inlineStr">
        <is>
          <t>Jumpstart: Historic Horizons (2021)</t>
        </is>
      </c>
      <c r="I551" s="8" t="inlineStr">
        <is>
          <t>山札から攻撃カードを無作為に1枚手札へ加える。選択式サーチより弱いぶん安いポイントで提供でき、山札順も崩れない。条件の絞り込み度合いで価格を変える。</t>
        </is>
      </c>
      <c r="J551" s="11" t="inlineStr">
        <is>
          <t>高</t>
        </is>
      </c>
      <c r="K551" s="8" t="inlineStr">
        <is>
          <t>山札</t>
        </is>
      </c>
      <c r="L551" s="12" t="inlineStr">
        <is>
          <t>◎</t>
        </is>
      </c>
      <c r="M551" s="13" t="inlineStr">
        <is>
          <t>【今回実装：効果『抽出』（`seek`・バッチB）】（審査時は○）次回：効果『抽出』（山札から指定種類をランダムに1枚。サーチの廉価版）</t>
        </is>
      </c>
    </row>
    <row r="552" ht="45.5" customHeight="1">
      <c r="A552" s="7" t="n">
        <v>551</v>
      </c>
      <c r="B552" s="8" t="inlineStr">
        <is>
          <t>デジタル専用メカニズム</t>
        </is>
      </c>
      <c r="C552" s="8" t="inlineStr">
        <is>
          <t>展開・トークン</t>
        </is>
      </c>
      <c r="D552" s="9" t="inlineStr">
        <is>
          <t>創出</t>
        </is>
      </c>
      <c r="E552" s="10" t="inlineStr">
        <is>
          <t>Conjure</t>
        </is>
      </c>
      <c r="F552" s="7" t="n"/>
      <c r="G552" s="8" t="inlineStr">
        <is>
          <t>指定したカードをゲーム外から新たに作り、手札やライブラリーなどに直接置く。トークンではなく本物のカードとして扱う。</t>
        </is>
      </c>
      <c r="H552" s="10" t="inlineStr">
        <is>
          <t>Jumpstart: Historic Horizons (2021)</t>
        </is>
      </c>
      <c r="I552" s="8" t="inlineStr">
        <is>
          <t>手札に火の玉を1枚生成、相手の山札に呪いを3枚混ぜるなど、デッキ外のカードを生み出す。StSの状態異常カード追加と同じ仕組みで、置き先ごとにポイントを変える。</t>
        </is>
      </c>
      <c r="J552" s="11" t="inlineStr">
        <is>
          <t>高</t>
        </is>
      </c>
      <c r="K552" s="8" t="inlineStr">
        <is>
          <t>カード生成処理</t>
        </is>
      </c>
      <c r="L552" s="12" t="inlineStr">
        <is>
          <t>◎</t>
        </is>
      </c>
      <c r="M552" s="13" t="inlineStr">
        <is>
          <t>【今回実装：効果『創出』（`conjure`・バッチB）】（審査時は○）効果『創出』：手札に使い切りのトークンカード（例：コスト0・ダメージN、使うと除外）を加える。中身ぶん+5pt</t>
        </is>
      </c>
    </row>
    <row r="553" ht="41.5" customHeight="1">
      <c r="A553" s="7" t="n">
        <v>552</v>
      </c>
      <c r="B553" s="8" t="inlineStr">
        <is>
          <t>デジタル専用メカニズム</t>
        </is>
      </c>
      <c r="C553" s="8" t="inlineStr">
        <is>
          <t>デッキ構築</t>
        </is>
      </c>
      <c r="D553" s="9" t="inlineStr">
        <is>
          <t>呪文書</t>
        </is>
      </c>
      <c r="E553" s="10" t="inlineStr">
        <is>
          <t>Spellbook</t>
        </is>
      </c>
      <c r="F553" s="7" t="n"/>
      <c r="G553" s="8" t="inlineStr">
        <is>
          <t>カードごとに定義された専用のカードリスト（多くは15枚）。ドラフトや創出の候補プールとなり、複数のカードが同じ呪文書を共有する例もある。</t>
        </is>
      </c>
      <c r="H553" s="8" t="inlineStr">
        <is>
          <t>アルケミー：イニストラード (2021)</t>
        </is>
      </c>
      <c r="I553" s="8" t="inlineStr">
        <is>
          <t>カードごとにテーマ別の候補リストを持たせ、生成効果の引き先にする。プレイヤーが自作カードに呪文書を設定できると、ポイント制カスタムの幅が広がる。</t>
        </is>
      </c>
      <c r="J553" s="11" t="inlineStr">
        <is>
          <t>中</t>
        </is>
      </c>
      <c r="K553" s="8" t="inlineStr">
        <is>
          <t>カードプール定義</t>
        </is>
      </c>
      <c r="L553" s="12" t="inlineStr">
        <is>
          <t>×</t>
        </is>
      </c>
      <c r="M553" s="13" t="inlineStr">
        <is>
          <t>カードごとの候補プール定義が重い。自作カード制では作る手間に見合わない</t>
        </is>
      </c>
    </row>
    <row r="554" ht="41.5" customHeight="1">
      <c r="A554" s="7" t="n">
        <v>553</v>
      </c>
      <c r="B554" s="8" t="inlineStr">
        <is>
          <t>デジタル専用メカニズム</t>
        </is>
      </c>
      <c r="C554" s="8" t="inlineStr">
        <is>
          <t>ドロー・手札</t>
        </is>
      </c>
      <c r="D554" s="9" t="inlineStr">
        <is>
          <t>ドラフト（呪文書からドラフト）</t>
        </is>
      </c>
      <c r="E554" s="10" t="inlineStr">
        <is>
          <t>Draft (from a spellbook)</t>
        </is>
      </c>
      <c r="F554" s="7" t="n"/>
      <c r="G554" s="8" t="inlineStr">
        <is>
          <t>呪文書から無作為に提示された3枚の中から1枚を選び、手札などに創出する。選んだカードは原則として相手に公開されない。</t>
        </is>
      </c>
      <c r="H554" s="8" t="inlineStr">
        <is>
          <t>アルケミー：イニストラード (2021)</t>
        </is>
      </c>
      <c r="I554" s="8" t="inlineStr">
        <is>
          <t>戦闘中に3枚から1枚を選んで手札へ加える。StSの報酬選択を対戦の中に持ち込める。候補の質と選択肢の数でポイントを調整する。</t>
        </is>
      </c>
      <c r="J554" s="11" t="inlineStr">
        <is>
          <t>高</t>
        </is>
      </c>
      <c r="K554" s="8" t="inlineStr">
        <is>
          <t>呪文書</t>
        </is>
      </c>
      <c r="L554" s="12" t="inlineStr">
        <is>
          <t>◎</t>
        </is>
      </c>
      <c r="M554" s="13" t="inlineStr">
        <is>
          <t>【今回実装：効果『発見』（上3枚から1枚を選ぶ）（`discover`・バッチB）】（審査時は○）効果『発見』：山札の上3枚から1枚を選んで手札へ、残りは捨て札。選択UIはサーチと共用。約12pt</t>
        </is>
      </c>
    </row>
    <row r="555" ht="41.5" customHeight="1">
      <c r="A555" s="7" t="n">
        <v>554</v>
      </c>
      <c r="B555" s="8" t="inlineStr">
        <is>
          <t>デジタル専用メカニズム</t>
        </is>
      </c>
      <c r="C555" s="8" t="inlineStr">
        <is>
          <t>成長・カウンター</t>
        </is>
      </c>
      <c r="D555" s="9" t="inlineStr">
        <is>
          <t>強度</t>
        </is>
      </c>
      <c r="E555" s="10" t="inlineStr">
        <is>
          <t>Intensity</t>
        </is>
      </c>
      <c r="F555" s="7" t="n"/>
      <c r="G555" s="8" t="inlineStr">
        <is>
          <t>カードが初期強度の値を持ち、特定の行動のたびに永久に増えていく。領域を移動したりコピーになったりしても値が引き継がれる。</t>
        </is>
      </c>
      <c r="H555" s="8" t="inlineStr">
        <is>
          <t>アルケミー：神河 (2022)</t>
        </is>
      </c>
      <c r="I555" s="8" t="inlineStr">
        <is>
          <t>使うたびに威力+1のような積み上げ値をカード個体に保存する。山札を一周しても値が残るので長期戦でスケールする。初期値と増加量をポイント項目にする。</t>
        </is>
      </c>
      <c r="J555" s="11" t="inlineStr">
        <is>
          <t>高</t>
        </is>
      </c>
      <c r="K555" s="8" t="inlineStr">
        <is>
          <t>永久変更</t>
        </is>
      </c>
      <c r="L555" s="12" t="inlineStr">
        <is>
          <t>◎</t>
        </is>
      </c>
      <c r="M555" s="13" t="inlineStr">
        <is>
          <t>【今回実装：カードの能力『成長』（`grow`・バッチB）】（審査時は○）効果『成長』：使うたびこのカードのダメージ+N（対戦中ずっと、カード個体に保存）。個体カウンターが要る。+8pt目安</t>
        </is>
      </c>
    </row>
    <row r="556" ht="41.5" customHeight="1">
      <c r="A556" s="7" t="n">
        <v>555</v>
      </c>
      <c r="B556" s="8" t="inlineStr">
        <is>
          <t>デジタル専用メカニズム</t>
        </is>
      </c>
      <c r="C556" s="8" t="inlineStr">
        <is>
          <t>強化</t>
        </is>
      </c>
      <c r="D556" s="9" t="inlineStr">
        <is>
          <t>強度を増やす（非公式訳）</t>
        </is>
      </c>
      <c r="E556" s="10" t="inlineStr">
        <is>
          <t>Intensify</t>
        </is>
      </c>
      <c r="F556" s="7" t="n"/>
      <c r="G556" s="8" t="inlineStr">
        <is>
          <t>強度の値を上げるキーワード処理。自分が持つ同名カードすべての強度をまとめて上げる効果もある。</t>
        </is>
      </c>
      <c r="H556" s="8" t="inlineStr">
        <is>
          <t>アルケミー：イクサラン (2023)</t>
        </is>
      </c>
      <c r="I556" s="8" t="inlineStr">
        <is>
          <t>デッキ内の同名カード全部の強度+1のような一括強化で、同名カードを複数積む戦略を作る。対象範囲の広さでポイントに差を付ける。</t>
        </is>
      </c>
      <c r="J556" s="11" t="inlineStr">
        <is>
          <t>高</t>
        </is>
      </c>
      <c r="K556" s="8" t="inlineStr">
        <is>
          <t>強度</t>
        </is>
      </c>
      <c r="L556" s="12" t="inlineStr">
        <is>
          <t>×</t>
        </is>
      </c>
      <c r="M556" s="13" t="inlineStr">
        <is>
          <t>強度が前提で、同名カード一括強化は寄生的。まず成長(#554)単体で十分</t>
        </is>
      </c>
    </row>
    <row r="557" ht="45.5" customHeight="1">
      <c r="A557" s="7" t="n">
        <v>556</v>
      </c>
      <c r="B557" s="8" t="inlineStr">
        <is>
          <t>デジタル専用メカニズム</t>
        </is>
      </c>
      <c r="C557" s="8" t="inlineStr">
        <is>
          <t>成長・カウンター</t>
        </is>
      </c>
      <c r="D557" s="9" t="inlineStr">
        <is>
          <t>専門化</t>
        </is>
      </c>
      <c r="E557" s="10" t="inlineStr">
        <is>
          <t>Specialize</t>
        </is>
      </c>
      <c r="F557" s="7" t="n"/>
      <c r="G557" s="8" t="inlineStr">
        <is>
          <t>カード1枚を捨てるコストで、捨てたカードの色に応じた5種類の専門化先のいずれかに永久に変化する。ソーサリー・タイミング限定。</t>
        </is>
      </c>
      <c r="H557" s="8" t="inlineStr">
        <is>
          <t>アルケミーホライゾン：バルダーズ・ゲート (2022)</t>
        </is>
      </c>
      <c r="I557" s="8" t="inlineStr">
        <is>
          <t>捨てたカードの属性で分岐進化する選択式進化をユニットに付与する。手札1枚の消費をコストに5方向のビルドを1枚に収め、分岐先ごとにポイントを計上する。</t>
        </is>
      </c>
      <c r="J557" s="11" t="inlineStr">
        <is>
          <t>中</t>
        </is>
      </c>
      <c r="K557" s="8" t="inlineStr">
        <is>
          <t>属性/色</t>
        </is>
      </c>
      <c r="L557" s="12" t="inlineStr">
        <is>
          <t>×</t>
        </is>
      </c>
      <c r="M557" s="13" t="inlineStr">
        <is>
          <t>捨てたカードの色で分岐。色・属性が無い</t>
        </is>
      </c>
    </row>
    <row r="558" ht="41.5" customHeight="1">
      <c r="A558" s="7" t="n">
        <v>557</v>
      </c>
      <c r="B558" s="8" t="inlineStr">
        <is>
          <t>デジタル専用メカニズム</t>
        </is>
      </c>
      <c r="C558" s="8" t="inlineStr">
        <is>
          <t>強化</t>
        </is>
      </c>
      <c r="D558" s="9" t="inlineStr">
        <is>
          <t>恩恵</t>
        </is>
      </c>
      <c r="E558" s="10" t="inlineStr">
        <is>
          <t>Boon</t>
        </is>
      </c>
      <c r="F558" s="7" t="n"/>
      <c r="G558" s="8" t="inlineStr">
        <is>
          <t>プレイヤーに付与される回数制の誘発型能力。条件を満たすたびに効果を発揮し、1回や3回など決められた回数を使い切ると消える。</t>
        </is>
      </c>
      <c r="H558" s="8" t="inlineStr">
        <is>
          <t>アルケミーホライゾン：バルダーズ・ゲート (2022)</t>
        </is>
      </c>
      <c r="I558" s="8" t="inlineStr">
        <is>
          <t>次に攻撃カードを使ったとき追加で3ダメージ（2回まで）のような回数制バフをプレイヤーに付与する。アイコンと残り回数を表示し、回数をポイント項目にする。</t>
        </is>
      </c>
      <c r="J558" s="11" t="inlineStr">
        <is>
          <t>高</t>
        </is>
      </c>
      <c r="K558" s="8" t="inlineStr">
        <is>
          <t>誘発判定</t>
        </is>
      </c>
      <c r="L558" s="12" t="inlineStr">
        <is>
          <t>◎</t>
        </is>
      </c>
      <c r="M558" s="13" t="inlineStr">
        <is>
          <t>【今回実装：効果『恩恵』（`boon`・バッチB）】（審査時は○）状態『恩恵』：次のアタックM回、ダメージ+N（回数制）。筋力と気合の中間。回数×N×2pt程度</t>
        </is>
      </c>
    </row>
    <row r="559" ht="45.5" customHeight="1">
      <c r="A559" s="7" t="n">
        <v>558</v>
      </c>
      <c r="B559" s="8" t="inlineStr">
        <is>
          <t>デジタル専用メカニズム</t>
        </is>
      </c>
      <c r="C559" s="8" t="inlineStr">
        <is>
          <t>展開・トークン</t>
        </is>
      </c>
      <c r="D559" s="9" t="inlineStr">
        <is>
          <t>二体掛り</t>
        </is>
      </c>
      <c r="E559" s="10" t="inlineStr">
        <is>
          <t>Double team</t>
        </is>
      </c>
      <c r="F559" s="7" t="n"/>
      <c r="G559" s="8" t="inlineStr">
        <is>
          <t>トークンでないこのクリーチャーが攻撃すると、自身の複製を手札に創出する。その後、元と複製の両方がこの能力を永久に失う。</t>
        </is>
      </c>
      <c r="H559" s="8" t="inlineStr">
        <is>
          <t>アルケミーホライゾン：バルダーズ・ゲート (2022)</t>
        </is>
      </c>
      <c r="I559" s="8" t="inlineStr">
        <is>
          <t>初めて使ったときに自分のコピーを手札に加える能力。1回で増殖が止まるので無限ループを防げる。1枚で2回分の価値になるためポイントは高めにする。</t>
        </is>
      </c>
      <c r="J559" s="11" t="inlineStr">
        <is>
          <t>高</t>
        </is>
      </c>
      <c r="K559" s="8" t="inlineStr">
        <is>
          <t>創出と永久変更</t>
        </is>
      </c>
      <c r="L559" s="12" t="inlineStr">
        <is>
          <t>◎</t>
        </is>
      </c>
      <c r="M559" s="13" t="inlineStr">
        <is>
          <t>【今回実装：キーワード『分身』（`doubleTeam`・バッチB）】（審査時は○）キーワード『分身』：初めて攻撃したとき、分身を失った自分のコピーを手札に加える。複製の仕組みを流用。+本体の4割</t>
        </is>
      </c>
    </row>
    <row r="560" ht="41.5" customHeight="1">
      <c r="A560" s="7" t="n">
        <v>559</v>
      </c>
      <c r="B560" s="8" t="inlineStr">
        <is>
          <t>デジタル専用メカニズム</t>
        </is>
      </c>
      <c r="C560" s="8" t="inlineStr">
        <is>
          <t>強化</t>
        </is>
      </c>
      <c r="D560" s="9" t="inlineStr">
        <is>
          <t>組み込み</t>
        </is>
      </c>
      <c r="E560" s="10" t="inlineStr">
        <is>
          <t>Incorporate</t>
        </is>
      </c>
      <c r="F560" s="7" t="n"/>
      <c r="G560" s="8" t="inlineStr">
        <is>
          <t>手札のカードにマナ・コストの追加と能力や特性を永久に組み込む。追加したコストの色がそのカードの色にも加わる。</t>
        </is>
      </c>
      <c r="H560" s="8" t="inlineStr">
        <is>
          <t>アルケミー：カルロフ邸 (2024)</t>
        </is>
      </c>
      <c r="I560" s="8" t="inlineStr">
        <is>
          <t>手札のカード1枚にコスト+1と攻撃+4を組み込むようなカード改造。コストと性能を同時に書き換えるので、ポイント制の再配分をゲーム中に起こせる。</t>
        </is>
      </c>
      <c r="J560" s="11" t="inlineStr">
        <is>
          <t>中</t>
        </is>
      </c>
      <c r="K560" s="8" t="inlineStr">
        <is>
          <t>永久変更</t>
        </is>
      </c>
      <c r="L560" s="12" t="inlineStr">
        <is>
          <t>×</t>
        </is>
      </c>
      <c r="M560" s="13" t="inlineStr">
        <is>
          <t>手札カードのコスト・性能を永久書き換えるのはポイント制と衝突し重い</t>
        </is>
      </c>
    </row>
    <row r="561" ht="41.5" customHeight="1">
      <c r="A561" s="7" t="n">
        <v>560</v>
      </c>
      <c r="B561" s="8" t="inlineStr">
        <is>
          <t>デジタル専用メカニズム</t>
        </is>
      </c>
      <c r="C561" s="8" t="inlineStr">
        <is>
          <t>妨害</t>
        </is>
      </c>
      <c r="D561" s="9" t="inlineStr">
        <is>
          <t>強奪</t>
        </is>
      </c>
      <c r="E561" s="10" t="inlineStr">
        <is>
          <t>Heist</t>
        </is>
      </c>
      <c r="F561" s="7" t="n"/>
      <c r="G561" s="8" t="inlineStr">
        <is>
          <t>対戦相手のライブラリーから土地でないカードを無作為に3枚見て1枚を裏向きに追放し、それを任意のマナで唱えられるようにする。</t>
        </is>
      </c>
      <c r="H561" s="8" t="inlineStr">
        <is>
          <t>アルケミー：サンダー・ジャンクション (2024)</t>
        </is>
      </c>
      <c r="I561" s="8" t="inlineStr">
        <is>
          <t>相手の山札から3枚の候補を見て1枚を奪い、自分のエネルギーで使える。相手のデッキ構築を利用する駆け引きが生まれる。奪えるレアリティの上限でポイントを調整する。</t>
        </is>
      </c>
      <c r="J561" s="11" t="inlineStr">
        <is>
          <t>中</t>
        </is>
      </c>
      <c r="K561" s="8" t="inlineStr">
        <is>
          <t>相手山札の参照</t>
        </is>
      </c>
      <c r="L561" s="12" t="inlineStr">
        <is>
          <t>△</t>
        </is>
      </c>
      <c r="M561" s="13" t="inlineStr">
        <is>
          <t>相手の山札からランダム3枚見て1枚のコピーを自分の手札へ（コストは自分が払う）。相手カード複製が要る</t>
        </is>
      </c>
    </row>
    <row r="562" ht="37.5" customHeight="1">
      <c r="A562" s="7" t="n">
        <v>561</v>
      </c>
      <c r="B562" s="8" t="inlineStr">
        <is>
          <t>デジタル専用メカニズム</t>
        </is>
      </c>
      <c r="C562" s="8" t="inlineStr">
        <is>
          <t>条件ボーナス</t>
        </is>
      </c>
      <c r="D562" s="9" t="inlineStr">
        <is>
          <t>非開始プレイヤー・ボーナス（非公式訳）</t>
        </is>
      </c>
      <c r="E562" s="10" t="inlineStr">
        <is>
          <t>Not the starting player</t>
        </is>
      </c>
      <c r="F562" s="7" t="n"/>
      <c r="G562" s="8" t="inlineStr">
        <is>
          <t>ゲームの開始プレイヤーでなかった場合に、アンタップ状態で出る、コストが下がるなどの利点を得るカード群。先攻有利の緩和策。</t>
        </is>
      </c>
      <c r="H562" s="8" t="inlineStr">
        <is>
          <t>アルケミー：兄弟戦争 (2022)</t>
        </is>
      </c>
      <c r="I562" s="8" t="inlineStr">
        <is>
          <t>後攻側にだけ働く効果をカードに付け、オンライン対戦の先攻有利を緩和する。後攻ボーナスの価値を一律のポイントに換算しておくと調整が楽になる。</t>
        </is>
      </c>
      <c r="J562" s="11" t="inlineStr">
        <is>
          <t>高</t>
        </is>
      </c>
      <c r="K562" s="8" t="inlineStr">
        <is>
          <t>先攻/後攻判定</t>
        </is>
      </c>
      <c r="L562" s="12" t="inlineStr">
        <is>
          <t>◎</t>
        </is>
      </c>
      <c r="M562" s="13" t="inlineStr">
        <is>
          <t>【今回実装：後攻】今回実装 条件『後攻』secondPlayer</t>
        </is>
      </c>
    </row>
    <row r="563" ht="49.5" customHeight="1">
      <c r="A563" s="7" t="n">
        <v>562</v>
      </c>
      <c r="B563" s="8" t="inlineStr">
        <is>
          <t>デジタル専用メカニズム</t>
        </is>
      </c>
      <c r="C563" s="8" t="inlineStr">
        <is>
          <t>その他</t>
        </is>
      </c>
      <c r="D563" s="9" t="inlineStr">
        <is>
          <t>ダブリエルの申し出と条件（非公式訳）</t>
        </is>
      </c>
      <c r="E563" s="10" t="inlineStr">
        <is>
          <t>Davriel's offers and conditions</t>
        </is>
      </c>
      <c r="F563" s="7" t="n"/>
      <c r="G563" s="8" t="inlineStr">
        <is>
          <t>アリーナ専用のダブリエル（Soul Broker）の能力。8種から無作為に3つずつ提示される申し出（利益）と条件（代償）を1つずつ選んで受け入れる。</t>
        </is>
      </c>
      <c r="H563" s="10" t="inlineStr">
        <is>
          <t>Jumpstart: Historic Horizons (2021)</t>
        </is>
      </c>
      <c r="I563" s="8" t="inlineStr">
        <is>
          <t>ランダム提示の報酬3択と代償3択を1枚に詰める。StSのイベント選択を戦闘中に再現でき、候補表の中身をポイントで均衡させれば期待値管理も簡単。</t>
        </is>
      </c>
      <c r="J563" s="11" t="inlineStr">
        <is>
          <t>中</t>
        </is>
      </c>
      <c r="K563" s="8" t="inlineStr">
        <is>
          <t>乱数と選択UI</t>
        </is>
      </c>
      <c r="L563" s="12" t="inlineStr">
        <is>
          <t>×</t>
        </is>
      </c>
      <c r="M563" s="13" t="inlineStr">
        <is>
          <t>ランダム申し出8種×代償の表を作るのが重く、1枚の効果としては複雑すぎる</t>
        </is>
      </c>
    </row>
    <row r="564" ht="37.5" customHeight="1">
      <c r="A564" s="7" t="n">
        <v>563</v>
      </c>
      <c r="B564" s="8" t="inlineStr">
        <is>
          <t>デジタル専用メカニズム</t>
        </is>
      </c>
      <c r="C564" s="8" t="inlineStr">
        <is>
          <t>ルール基盤</t>
        </is>
      </c>
      <c r="D564" s="9" t="inlineStr">
        <is>
          <t>再調整</t>
        </is>
      </c>
      <c r="E564" s="10" t="inlineStr">
        <is>
          <t>Rebalancing</t>
        </is>
      </c>
      <c r="F564" s="7" t="n"/>
      <c r="G564" s="8" t="inlineStr">
        <is>
          <t>アリーナでカードの性能を後から修正する仕組み。修正版のカードは名前の頭にA-が付く。</t>
        </is>
      </c>
      <c r="H564" s="8" t="inlineStr">
        <is>
          <t>アルケミー導入 (2021)</t>
        </is>
      </c>
      <c r="I564" s="8" t="inlineStr">
        <is>
          <t>オンラインならバランス修正をパッチで配信できる。ポイント表を中央管理し、使用率から予算超過のカードを検出する。修正履歴を表示して信頼性を保つ。</t>
        </is>
      </c>
      <c r="J564" s="11" t="inlineStr">
        <is>
          <t>高</t>
        </is>
      </c>
      <c r="K564" s="8" t="inlineStr">
        <is>
          <t>サーバー配信</t>
        </is>
      </c>
      <c r="L564" s="12" t="inlineStr">
        <is>
          <t>×</t>
        </is>
      </c>
      <c r="M564" s="13" t="inlineStr">
        <is>
          <t>運営側の仕組み。自作カードはポイント表の変更で再計算済み</t>
        </is>
      </c>
    </row>
    <row r="565" ht="41.5" customHeight="1">
      <c r="A565" s="7" t="n">
        <v>564</v>
      </c>
      <c r="B565" s="8" t="inlineStr">
        <is>
          <t>デジタル専用メカニズム</t>
        </is>
      </c>
      <c r="C565" s="8" t="inlineStr">
        <is>
          <t>その他</t>
        </is>
      </c>
      <c r="D565" s="9" t="inlineStr">
        <is>
          <t>アストラル・カード</t>
        </is>
      </c>
      <c r="E565" s="10" t="inlineStr">
        <is>
          <t>Astral cards</t>
        </is>
      </c>
      <c r="F565" s="7" t="n"/>
      <c r="G565" s="10" t="inlineStr">
        <is>
          <t>PCゲーム版に付属したデジタル専用カード群。パワー・タフネスや効果を無作為に決めるなど、紙では処理しにくい乱数を多用した。</t>
        </is>
      </c>
      <c r="H565" s="10" t="inlineStr">
        <is>
          <t>MicroProse版PCゲーム (1997)</t>
        </is>
      </c>
      <c r="I565" s="8" t="inlineStr">
        <is>
          <t>出るたびに攻撃力が1〜3のどれかになるような乱数ステータス。期待値でポイントを計算し、ばらつきの大きさに応じて少し割り引くと博打カードとして成立する。</t>
        </is>
      </c>
      <c r="J565" s="11" t="inlineStr">
        <is>
          <t>高</t>
        </is>
      </c>
      <c r="K565" s="8" t="inlineStr">
        <is>
          <t>乱数</t>
        </is>
      </c>
      <c r="L565" s="12" t="inlineStr">
        <is>
          <t>△</t>
        </is>
      </c>
      <c r="M565" s="13" t="inlineStr">
        <is>
          <t>召喚時に攻撃力がランダム（±）など。乱数の博打はコイン投げ条件(#639)でまとめて表現する</t>
        </is>
      </c>
    </row>
    <row r="566" ht="41.5" customHeight="1">
      <c r="A566" s="7" t="n">
        <v>565</v>
      </c>
      <c r="B566" s="8" t="inlineStr">
        <is>
          <t>デジタル専用メカニズム</t>
        </is>
      </c>
      <c r="C566" s="8" t="inlineStr">
        <is>
          <t>ルール基盤</t>
        </is>
      </c>
      <c r="D566" s="9" t="inlineStr">
        <is>
          <t>初手スムージング（通称）</t>
        </is>
      </c>
      <c r="E566" s="10" t="inlineStr">
        <is>
          <t>Best-of-one hand smoothing</t>
        </is>
      </c>
      <c r="F566" s="7" t="n"/>
      <c r="G566" s="8" t="inlineStr">
        <is>
          <t>アリーナの1本勝負では、初手を複数の候補から土地の比率がデッキに近いものを選んで配り、手札事故を減らしている。</t>
        </is>
      </c>
      <c r="H566" s="8" t="n"/>
      <c r="I566" s="8" t="inlineStr">
        <is>
          <t>初期手札を複数生成し、デッキのコスト分布に近いものを採用する。運要素を抑えつつ完全には固定しない配り方になり、エネルギー事故の対策になる。</t>
        </is>
      </c>
      <c r="J566" s="11" t="inlineStr">
        <is>
          <t>高</t>
        </is>
      </c>
      <c r="K566" s="8" t="inlineStr">
        <is>
          <t>山札</t>
        </is>
      </c>
      <c r="L566" s="12" t="inlineStr">
        <is>
          <t>×</t>
        </is>
      </c>
      <c r="M566" s="13" t="inlineStr">
        <is>
          <t>土地が無く手札は毎ターン引き直すので事故対策の必要が薄い</t>
        </is>
      </c>
    </row>
    <row r="567" ht="37.5" customHeight="1">
      <c r="A567" s="7" t="n">
        <v>566</v>
      </c>
      <c r="B567" s="8" t="inlineStr">
        <is>
          <t>デジタル専用メカニズム</t>
        </is>
      </c>
      <c r="C567" s="8" t="inlineStr">
        <is>
          <t>ルール基盤</t>
        </is>
      </c>
      <c r="D567" s="9" t="inlineStr">
        <is>
          <t>オートパスと停止予約（通称）</t>
        </is>
      </c>
      <c r="E567" s="10" t="inlineStr">
        <is>
          <t>Auto-pass and stops</t>
        </is>
      </c>
      <c r="F567" s="7" t="n"/>
      <c r="G567" s="8" t="inlineStr">
        <is>
          <t>アリーナは優先権の受け渡しを自動化し、プレイヤーが指定したフェイズや対応可能な場面でだけ停止して行動できるようにしている。</t>
        </is>
      </c>
      <c r="H567" s="8" t="n"/>
      <c r="I567" s="8" t="inlineStr">
        <is>
          <t>割り込み可能なタイミングを毎回確認すると遅くなるため、対応できるカードがある時だけタイマー付きで確認する。オンライン対戦のテンポ維持に必須の工夫。</t>
        </is>
      </c>
      <c r="J567" s="11" t="inlineStr">
        <is>
          <t>中</t>
        </is>
      </c>
      <c r="K567" s="8" t="inlineStr">
        <is>
          <t>割り込み処理</t>
        </is>
      </c>
      <c r="L567" s="12" t="inlineStr">
        <is>
          <t>×</t>
        </is>
      </c>
      <c r="M567" s="13" t="inlineStr">
        <is>
          <t>割り込み・優先権が無い</t>
        </is>
      </c>
    </row>
    <row r="568" ht="49.5" customHeight="1">
      <c r="A568" s="7" t="n">
        <v>567</v>
      </c>
      <c r="B568" s="8" t="inlineStr">
        <is>
          <t>特殊フォーマット</t>
        </is>
      </c>
      <c r="C568" s="8" t="inlineStr">
        <is>
          <t>デッキ構築</t>
        </is>
      </c>
      <c r="D568" s="9" t="inlineStr">
        <is>
          <t>統率者戦</t>
        </is>
      </c>
      <c r="E568" s="10" t="inlineStr">
        <is>
          <t>Commander</t>
        </is>
      </c>
      <c r="F568" s="7" t="inlineStr">
        <is>
          <t>903</t>
        </is>
      </c>
      <c r="G568" s="8" t="inlineStr">
        <is>
          <t>伝説のクリーチャー1体を統率者にし、同名1枚ずつの100枚デッキで多人数戦を行う。初期ライフ40、同じ統率者から21点受けると敗北。</t>
        </is>
      </c>
      <c r="H568" s="8" t="inlineStr">
        <is>
          <t>統率者 (2011)</t>
        </is>
      </c>
      <c r="I568" s="8" t="inlineStr">
        <is>
          <t>デッキの顔となるリーダーを専用ゾーンに置き、いつでも出撃できるようにする。リーダーの属性で採用可能なカードを制限すると、ポイント制デッキに方向性が出る。</t>
        </is>
      </c>
      <c r="J568" s="11" t="inlineStr">
        <is>
          <t>中</t>
        </is>
      </c>
      <c r="K568" s="8" t="inlineStr">
        <is>
          <t>リーダーゾーン</t>
        </is>
      </c>
      <c r="L568" s="12" t="inlineStr">
        <is>
          <t>×</t>
        </is>
      </c>
      <c r="M568" s="13" t="inlineStr">
        <is>
          <t>統率者・100枚・多人数が前提</t>
        </is>
      </c>
    </row>
    <row r="569" ht="41.5" customHeight="1">
      <c r="A569" s="7" t="n">
        <v>568</v>
      </c>
      <c r="B569" s="8" t="inlineStr">
        <is>
          <t>特殊フォーマット</t>
        </is>
      </c>
      <c r="C569" s="8" t="inlineStr">
        <is>
          <t>デッキ構築</t>
        </is>
      </c>
      <c r="D569" s="9" t="inlineStr">
        <is>
          <t>統率者ブラケット</t>
        </is>
      </c>
      <c r="E569" s="10" t="inlineStr">
        <is>
          <t>Commander Brackets</t>
        </is>
      </c>
      <c r="F569" s="7" t="n"/>
      <c r="G569" s="8" t="inlineStr">
        <is>
          <t>統率者デッキの強さを5段階で示し、同程度の卓で遊ぶための指標。強力なカードをゲーム・チェンジャーとして一覧化し、採用枚数で段階を決める。</t>
        </is>
      </c>
      <c r="H569" s="8" t="inlineStr">
        <is>
          <t>ブラケット発表 (2025)</t>
        </is>
      </c>
      <c r="I569" s="8" t="inlineStr">
        <is>
          <t>デッキの総ポイントや高レアの枚数から自動でランクを算出し、近いランク同士でマッチングする。カジュアル戦の満足度を上げられ、ポイント制との相性もよい。</t>
        </is>
      </c>
      <c r="J569" s="11" t="inlineStr">
        <is>
          <t>高</t>
        </is>
      </c>
      <c r="K569" s="8" t="inlineStr">
        <is>
          <t>マッチング</t>
        </is>
      </c>
      <c r="L569" s="12" t="inlineStr">
        <is>
          <t>×</t>
        </is>
      </c>
      <c r="M569" s="13" t="inlineStr">
        <is>
          <t>マッチング用の指標。カード要素ではない</t>
        </is>
      </c>
    </row>
    <row r="570" ht="45.5" customHeight="1">
      <c r="A570" s="7" t="n">
        <v>569</v>
      </c>
      <c r="B570" s="8" t="inlineStr">
        <is>
          <t>特殊フォーマット</t>
        </is>
      </c>
      <c r="C570" s="8" t="inlineStr">
        <is>
          <t>デッキ構築</t>
        </is>
      </c>
      <c r="D570" s="9" t="inlineStr">
        <is>
          <t>ブロール</t>
        </is>
      </c>
      <c r="E570" s="10" t="inlineStr">
        <is>
          <t>Brawl</t>
        </is>
      </c>
      <c r="F570" s="7" t="inlineStr">
        <is>
          <t>903.12</t>
        </is>
      </c>
      <c r="G570" s="8" t="inlineStr">
        <is>
          <t>統率者戦の小型版。60枚デッキでスタンダード相当のカードを使い、プレインズウォーカーも統率者にできる。アリーナには100枚版もある。</t>
        </is>
      </c>
      <c r="H570" s="8" t="inlineStr">
        <is>
          <t>ブロール発表 (2018)</t>
        </is>
      </c>
      <c r="I570" s="8" t="inlineStr">
        <is>
          <t>リーダー戦の短時間版として、デッキ枚数とライフを減らした1対1モードを用意する。オンラインで1試合の時間を短く保ちたい場合の標準モード候補になる。</t>
        </is>
      </c>
      <c r="J570" s="11" t="inlineStr">
        <is>
          <t>中</t>
        </is>
      </c>
      <c r="K570" s="8" t="inlineStr">
        <is>
          <t>リーダーゾーン</t>
        </is>
      </c>
      <c r="L570" s="12" t="inlineStr">
        <is>
          <t>×</t>
        </is>
      </c>
      <c r="M570" s="13" t="inlineStr">
        <is>
          <t>統率者（リーダーゾーン）前提のフォーマット</t>
        </is>
      </c>
    </row>
    <row r="571" ht="41.5" customHeight="1">
      <c r="A571" s="7" t="n">
        <v>570</v>
      </c>
      <c r="B571" s="8" t="inlineStr">
        <is>
          <t>特殊フォーマット</t>
        </is>
      </c>
      <c r="C571" s="8" t="inlineStr">
        <is>
          <t>多人数・交流</t>
        </is>
      </c>
      <c r="D571" s="9" t="inlineStr">
        <is>
          <t>双頭巨人戦</t>
        </is>
      </c>
      <c r="E571" s="10" t="inlineStr">
        <is>
          <t>Two-Headed Giant</t>
        </is>
      </c>
      <c r="F571" s="7" t="inlineStr">
        <is>
          <t>810</t>
        </is>
      </c>
      <c r="G571" s="10" t="inlineStr">
        <is>
          <t>2人1組の2チームで対戦し、ライフ30をチームで共有し、ターンもチーム単位で同時に進める。手札やマナは個別。</t>
        </is>
      </c>
      <c r="H571" s="8" t="inlineStr">
        <is>
          <t>公認フォーマット化 (2005)</t>
        </is>
      </c>
      <c r="I571" s="10" t="inlineStr">
        <is>
          <t>2対2の協力対戦モード。HPとターンを共有し、手札とエネルギーは個別にする。味方へのカード受け渡しや連携技カードを作るとオンラインならではの盛り上がりが出る。</t>
        </is>
      </c>
      <c r="J571" s="11" t="inlineStr">
        <is>
          <t>中</t>
        </is>
      </c>
      <c r="K571" s="8" t="inlineStr">
        <is>
          <t>多人数対戦</t>
        </is>
      </c>
      <c r="L571" s="12" t="inlineStr">
        <is>
          <t>×</t>
        </is>
      </c>
      <c r="M571" s="13" t="inlineStr">
        <is>
          <t>多人数（2対2）前提</t>
        </is>
      </c>
    </row>
    <row r="572" ht="45.5" customHeight="1">
      <c r="A572" s="7" t="n">
        <v>571</v>
      </c>
      <c r="B572" s="8" t="inlineStr">
        <is>
          <t>特殊フォーマット</t>
        </is>
      </c>
      <c r="C572" s="8" t="inlineStr">
        <is>
          <t>多人数・交流</t>
        </is>
      </c>
      <c r="D572" s="9" t="inlineStr">
        <is>
          <t>無差別戦</t>
        </is>
      </c>
      <c r="E572" s="10" t="inlineStr">
        <is>
          <t>Free-for-All</t>
        </is>
      </c>
      <c r="F572" s="7" t="inlineStr">
        <is>
          <t>806</t>
        </is>
      </c>
      <c r="G572" s="10" t="inlineStr">
        <is>
          <t>3人以上が個人戦で同時に戦い、各自が任意の相手を攻撃できる多人数戦の基本形。影響範囲を制限する選択ルールもある。</t>
        </is>
      </c>
      <c r="H572" s="8" t="n"/>
      <c r="I572" s="10" t="inlineStr">
        <is>
          <t>4人バトルロイヤル。袋叩きを防ぐため、最もHPが多い者を攻撃すると報酬を得るなどの調整を入れる。CPUを混ぜれば人数不足も補える。</t>
        </is>
      </c>
      <c r="J572" s="11" t="inlineStr">
        <is>
          <t>中</t>
        </is>
      </c>
      <c r="K572" s="8" t="inlineStr">
        <is>
          <t>多人数対戦</t>
        </is>
      </c>
      <c r="L572" s="12" t="inlineStr">
        <is>
          <t>×</t>
        </is>
      </c>
      <c r="M572" s="13" t="inlineStr">
        <is>
          <t>多人数前提</t>
        </is>
      </c>
    </row>
    <row r="573" ht="37.5" customHeight="1">
      <c r="A573" s="7" t="n">
        <v>572</v>
      </c>
      <c r="B573" s="8" t="inlineStr">
        <is>
          <t>特殊フォーマット</t>
        </is>
      </c>
      <c r="C573" s="8" t="inlineStr">
        <is>
          <t>多人数・交流</t>
        </is>
      </c>
      <c r="D573" s="9" t="inlineStr">
        <is>
          <t>プレインチェイス</t>
        </is>
      </c>
      <c r="E573" s="10" t="inlineStr">
        <is>
          <t>Planechase</t>
        </is>
      </c>
      <c r="F573" s="7" t="inlineStr">
        <is>
          <t>901</t>
        </is>
      </c>
      <c r="G573" s="8" t="inlineStr">
        <is>
          <t>共有の次元デッキの一番上の次元が全員に影響するルールを与え、次元ダイスを振ると別の次元へ移動したり現象が起きたりする。</t>
        </is>
      </c>
      <c r="H573" s="8" t="inlineStr">
        <is>
          <t>プレインチェイス (2009)</t>
        </is>
      </c>
      <c r="I573" s="8" t="inlineStr">
        <is>
          <t>対戦ごとにステージ効果を表示し、条件やサイコロで次のステージへ移る。全員に影響する環境ルールなので、同じデッキでも毎回違う展開になる。</t>
        </is>
      </c>
      <c r="J573" s="11" t="inlineStr">
        <is>
          <t>中</t>
        </is>
      </c>
      <c r="K573" s="8" t="inlineStr">
        <is>
          <t>共有ルール枠</t>
        </is>
      </c>
      <c r="L573" s="12" t="inlineStr">
        <is>
          <t>×</t>
        </is>
      </c>
      <c r="M573" s="13" t="inlineStr">
        <is>
          <t>共有ステージ効果のモード。カード要素ではなく別企画</t>
        </is>
      </c>
    </row>
    <row r="574" ht="41.5" customHeight="1">
      <c r="A574" s="7" t="n">
        <v>573</v>
      </c>
      <c r="B574" s="8" t="inlineStr">
        <is>
          <t>特殊フォーマット</t>
        </is>
      </c>
      <c r="C574" s="8" t="inlineStr">
        <is>
          <t>多人数・交流</t>
        </is>
      </c>
      <c r="D574" s="9" t="inlineStr">
        <is>
          <t>アーチエネミー</t>
        </is>
      </c>
      <c r="E574" s="10" t="inlineStr">
        <is>
          <t>Archenemy</t>
        </is>
      </c>
      <c r="F574" s="7" t="inlineStr">
        <is>
          <t>904</t>
        </is>
      </c>
      <c r="G574" s="10" t="inlineStr">
        <is>
          <t>1人の大魔王が計略デッキを持ち、毎ターン強力な計略を実行しながら、複数人のチームと戦う変種。</t>
        </is>
      </c>
      <c r="H574" s="8" t="inlineStr">
        <is>
          <t>アーチエネミー (2010)</t>
        </is>
      </c>
      <c r="I574" s="8" t="inlineStr">
        <is>
          <t>ボス戦モード。CPUボスは通常デッキに加え毎ターン計略を1枚公開し、プレイヤーたちが協力して倒す。計略は持続型と一回型を混ぜる。</t>
        </is>
      </c>
      <c r="J574" s="11" t="inlineStr">
        <is>
          <t>中</t>
        </is>
      </c>
      <c r="K574" s="10" t="inlineStr">
        <is>
          <t>CPU行動デッキ</t>
        </is>
      </c>
      <c r="L574" s="12" t="inlineStr">
        <is>
          <t>×</t>
        </is>
      </c>
      <c r="M574" s="13" t="inlineStr">
        <is>
          <t>ボス・協力モード。カード要素ではない</t>
        </is>
      </c>
    </row>
    <row r="575" ht="41.5" customHeight="1">
      <c r="A575" s="7" t="n">
        <v>574</v>
      </c>
      <c r="B575" s="8" t="inlineStr">
        <is>
          <t>特殊フォーマット</t>
        </is>
      </c>
      <c r="C575" s="8" t="inlineStr">
        <is>
          <t>デッキ構築</t>
        </is>
      </c>
      <c r="D575" s="9" t="inlineStr">
        <is>
          <t>コンスピラシー・ドラフト</t>
        </is>
      </c>
      <c r="E575" s="10" t="inlineStr">
        <is>
          <t>Conspiracy Draft</t>
        </is>
      </c>
      <c r="F575" s="7" t="inlineStr">
        <is>
          <t>905</t>
        </is>
      </c>
      <c r="G575" s="8" t="inlineStr">
        <is>
          <t>ドラフト中に効果を発揮するカードや、ゲーム開始時から働く陰謀カードを使う多人数向けのドラフト形式。</t>
        </is>
      </c>
      <c r="H575" s="8" t="inlineStr">
        <is>
          <t>コンスピラシー (2014)</t>
        </is>
      </c>
      <c r="I575" s="8" t="inlineStr">
        <is>
          <t>ドラフト中に次のピックを2枚取るなどの効果を持つカードを導入する。デッキを作る段階から駆け引きが生まれ、デッキ外効果もポイントで評価できる。</t>
        </is>
      </c>
      <c r="J575" s="11" t="inlineStr">
        <is>
          <t>中</t>
        </is>
      </c>
      <c r="K575" s="8" t="inlineStr">
        <is>
          <t>ドラフト</t>
        </is>
      </c>
      <c r="L575" s="12" t="inlineStr">
        <is>
          <t>×</t>
        </is>
      </c>
      <c r="M575" s="13" t="inlineStr">
        <is>
          <t>ドラフト・多人数前提</t>
        </is>
      </c>
    </row>
    <row r="576" ht="45.5" customHeight="1">
      <c r="A576" s="7" t="n">
        <v>575</v>
      </c>
      <c r="B576" s="8" t="inlineStr">
        <is>
          <t>特殊フォーマット</t>
        </is>
      </c>
      <c r="C576" s="8" t="inlineStr">
        <is>
          <t>デッキ構築</t>
        </is>
      </c>
      <c r="D576" s="9" t="inlineStr">
        <is>
          <t>ブースター・ドラフト</t>
        </is>
      </c>
      <c r="E576" s="10" t="inlineStr">
        <is>
          <t>Booster Draft</t>
        </is>
      </c>
      <c r="F576" s="7" t="inlineStr">
        <is>
          <t>100.2b</t>
        </is>
      </c>
      <c r="G576" s="8" t="inlineStr">
        <is>
          <t>各自がパックを開けて1枚取り隣へ回すことを繰り返し、集めたカードで40枚デッキを作って戦うリミテッド戦。</t>
        </is>
      </c>
      <c r="H576" s="8" t="n"/>
      <c r="I576" s="10" t="inlineStr">
        <is>
          <t>8人またはボットと順にカードを取り合い、その場でデッキを作るモード。自作カードを持ち込まない公平な遊び方で、ボットのピックはポイント評価値で決められる。</t>
        </is>
      </c>
      <c r="J576" s="11" t="inlineStr">
        <is>
          <t>中</t>
        </is>
      </c>
      <c r="K576" s="8" t="inlineStr">
        <is>
          <t>カードプール</t>
        </is>
      </c>
      <c r="L576" s="12" t="inlineStr">
        <is>
          <t>×</t>
        </is>
      </c>
      <c r="M576" s="13" t="inlineStr">
        <is>
          <t>ドラフトモード。自作カードの対戦とは別企画</t>
        </is>
      </c>
    </row>
    <row r="577" ht="41.5" customHeight="1">
      <c r="A577" s="7" t="n">
        <v>576</v>
      </c>
      <c r="B577" s="8" t="inlineStr">
        <is>
          <t>特殊フォーマット</t>
        </is>
      </c>
      <c r="C577" s="8" t="inlineStr">
        <is>
          <t>デッキ構築</t>
        </is>
      </c>
      <c r="D577" s="9" t="inlineStr">
        <is>
          <t>シールドデッキ</t>
        </is>
      </c>
      <c r="E577" s="10" t="inlineStr">
        <is>
          <t>Sealed Deck</t>
        </is>
      </c>
      <c r="F577" s="7" t="inlineStr">
        <is>
          <t>100.2b</t>
        </is>
      </c>
      <c r="G577" s="8" t="inlineStr">
        <is>
          <t>未開封のパック（通常6個）の中身だけで、その場でデッキを作るリミテッド戦。ドラフトのような取り合いはない。</t>
        </is>
      </c>
      <c r="H577" s="8" t="n"/>
      <c r="I577" s="8" t="inlineStr">
        <is>
          <t>ランダムに配られたカード群から短時間でデッキを組む。他人を待つ必要がないためオンラインで即開始しやすく、新カードのお試しにも向く。</t>
        </is>
      </c>
      <c r="J577" s="11" t="inlineStr">
        <is>
          <t>高</t>
        </is>
      </c>
      <c r="K577" s="8" t="inlineStr">
        <is>
          <t>カードプール</t>
        </is>
      </c>
      <c r="L577" s="12" t="inlineStr">
        <is>
          <t>×</t>
        </is>
      </c>
      <c r="M577" s="13" t="inlineStr">
        <is>
          <t>パック・カードプール前提のモード</t>
        </is>
      </c>
    </row>
    <row r="578" ht="41.5" customHeight="1">
      <c r="A578" s="7" t="n">
        <v>577</v>
      </c>
      <c r="B578" s="8" t="inlineStr">
        <is>
          <t>特殊フォーマット</t>
        </is>
      </c>
      <c r="C578" s="8" t="inlineStr">
        <is>
          <t>デッキ構築</t>
        </is>
      </c>
      <c r="D578" s="9" t="inlineStr">
        <is>
          <t>キューブ・ドラフト</t>
        </is>
      </c>
      <c r="E578" s="10" t="inlineStr">
        <is>
          <t>Cube Draft</t>
        </is>
      </c>
      <c r="F578" s="7" t="n"/>
      <c r="G578" s="8" t="inlineStr">
        <is>
          <t>主催者が選んだ数百枚の単品カードの集合（キューブ）をパック代わりにしてドラフトする。アリーナやMOにも公式キューブがある。</t>
        </is>
      </c>
      <c r="H578" s="8" t="n"/>
      <c r="I578" s="8" t="inlineStr">
        <is>
          <t>運営やユーザーが選んだカード群で毎回ドラフトする。人気カードの殿堂入りリストや、ポイント上限別のキューブを用意すると遊び方が増える。</t>
        </is>
      </c>
      <c r="J578" s="11" t="inlineStr">
        <is>
          <t>中</t>
        </is>
      </c>
      <c r="K578" s="8" t="inlineStr">
        <is>
          <t>ドラフト</t>
        </is>
      </c>
      <c r="L578" s="12" t="inlineStr">
        <is>
          <t>×</t>
        </is>
      </c>
      <c r="M578" s="13" t="inlineStr">
        <is>
          <t>ドラフトモード前提</t>
        </is>
      </c>
    </row>
    <row r="579" ht="45.5" customHeight="1">
      <c r="A579" s="7" t="n">
        <v>578</v>
      </c>
      <c r="B579" s="8" t="inlineStr">
        <is>
          <t>特殊フォーマット</t>
        </is>
      </c>
      <c r="C579" s="8" t="inlineStr">
        <is>
          <t>デッキ構築</t>
        </is>
      </c>
      <c r="D579" s="9" t="inlineStr">
        <is>
          <t>ウィンストン・ドラフト</t>
        </is>
      </c>
      <c r="E579" s="10" t="inlineStr">
        <is>
          <t>Winston Draft</t>
        </is>
      </c>
      <c r="F579" s="7" t="n"/>
      <c r="G579" s="10" t="inlineStr">
        <is>
          <t>2人用のドラフト。3つの山を順に見て取るか次へ回すかを選び、取らなかった山には1枚ずつカードが積み増される。</t>
        </is>
      </c>
      <c r="H579" s="8" t="n"/>
      <c r="I579" s="10" t="inlineStr">
        <is>
          <t>1対1のオンライン対戦前に遊べる短いドラフト。山を見て取るかパスかの判断が楽しく、待ち時間の少ない2人用モードとして実装しやすい。</t>
        </is>
      </c>
      <c r="J579" s="11" t="inlineStr">
        <is>
          <t>中</t>
        </is>
      </c>
      <c r="K579" s="8" t="inlineStr">
        <is>
          <t>カードプール</t>
        </is>
      </c>
      <c r="L579" s="12" t="inlineStr">
        <is>
          <t>×</t>
        </is>
      </c>
      <c r="M579" s="13" t="inlineStr">
        <is>
          <t>ドラフトモード前提</t>
        </is>
      </c>
    </row>
    <row r="580" ht="41.5" customHeight="1">
      <c r="A580" s="7" t="n">
        <v>579</v>
      </c>
      <c r="B580" s="8" t="inlineStr">
        <is>
          <t>特殊フォーマット</t>
        </is>
      </c>
      <c r="C580" s="8" t="inlineStr">
        <is>
          <t>デッキ構築</t>
        </is>
      </c>
      <c r="D580" s="9" t="inlineStr">
        <is>
          <t>ピック2・ドラフト</t>
        </is>
      </c>
      <c r="E580" s="10" t="inlineStr">
        <is>
          <t>Pick-Two Draft</t>
        </is>
      </c>
      <c r="F580" s="7" t="n"/>
      <c r="G580" s="10" t="inlineStr">
        <is>
          <t>4人用のドラフト変種で、パックから毎回2枚ずつ取って回す。少人数でも短時間でドラフトを終えられる。</t>
        </is>
      </c>
      <c r="H580" s="8" t="inlineStr">
        <is>
          <t>導入 (2025)</t>
        </is>
      </c>
      <c r="I580" s="8" t="inlineStr">
        <is>
          <t>少人数マッチでドラフトを成立させる工夫。1巡で複数枚を取ることで所要時間が短くなる。人数に応じてピック枚数を変える可変ルールにできる。</t>
        </is>
      </c>
      <c r="J580" s="11" t="inlineStr">
        <is>
          <t>中</t>
        </is>
      </c>
      <c r="K580" s="8" t="inlineStr">
        <is>
          <t>ドラフト</t>
        </is>
      </c>
      <c r="L580" s="12" t="inlineStr">
        <is>
          <t>×</t>
        </is>
      </c>
      <c r="M580" s="13" t="inlineStr">
        <is>
          <t>ドラフト・4人前提</t>
        </is>
      </c>
    </row>
    <row r="581" ht="37.5" customHeight="1">
      <c r="A581" s="7" t="n">
        <v>580</v>
      </c>
      <c r="B581" s="8" t="inlineStr">
        <is>
          <t>特殊フォーマット</t>
        </is>
      </c>
      <c r="C581" s="8" t="inlineStr">
        <is>
          <t>デッキ構築</t>
        </is>
      </c>
      <c r="D581" s="9" t="inlineStr">
        <is>
          <t>ミステリーブースター</t>
        </is>
      </c>
      <c r="E581" s="10" t="inlineStr">
        <is>
          <t>Mystery Booster</t>
        </is>
      </c>
      <c r="F581" s="7" t="n"/>
      <c r="G581" s="8" t="inlineStr">
        <is>
          <t>歴代のカードから無作為に選ばれた再録カードとプレイテスト・カードなどが入るブースター。毎回新鮮な組み合わせでドラフトできる。</t>
        </is>
      </c>
      <c r="H581" s="8" t="inlineStr">
        <is>
          <t>ミステリーブースター (2019)</t>
        </is>
      </c>
      <c r="I581" s="8" t="inlineStr">
        <is>
          <t>全カードプールから毎回ランダム抽選したパックでドラフトする闇鍋モード。全レアリティのバランスを確かめる試験場にもなる。</t>
        </is>
      </c>
      <c r="J581" s="11" t="inlineStr">
        <is>
          <t>中</t>
        </is>
      </c>
      <c r="K581" s="8" t="inlineStr">
        <is>
          <t>カードプール</t>
        </is>
      </c>
      <c r="L581" s="12" t="inlineStr">
        <is>
          <t>×</t>
        </is>
      </c>
      <c r="M581" s="13" t="inlineStr">
        <is>
          <t>パック・カードプール前提</t>
        </is>
      </c>
    </row>
    <row r="582" ht="37.5" customHeight="1">
      <c r="A582" s="7" t="n">
        <v>581</v>
      </c>
      <c r="B582" s="8" t="inlineStr">
        <is>
          <t>特殊フォーマット</t>
        </is>
      </c>
      <c r="C582" s="8" t="inlineStr">
        <is>
          <t>その他</t>
        </is>
      </c>
      <c r="D582" s="9" t="inlineStr">
        <is>
          <t>プレイテスト・カード</t>
        </is>
      </c>
      <c r="E582" s="10" t="inlineStr">
        <is>
          <t>Playtest card</t>
        </is>
      </c>
      <c r="F582" s="7" t="n"/>
      <c r="G582" s="8" t="inlineStr">
        <is>
          <t>開発部の試作カードを模したカード。型破りなルールを持ち、ミステリーブースターなどに収録されたが構築では使えない。</t>
        </is>
      </c>
      <c r="H582" s="8" t="inlineStr">
        <is>
          <t>ミステリーブースター (2019)</t>
        </is>
      </c>
      <c r="I582" s="8" t="inlineStr">
        <is>
          <t>期間限定の試作カードを出し、実験的な効果をカジュアル戦でだけ解禁する。使用率やポイント評価を見て正式カードに昇格させる運用ができる。</t>
        </is>
      </c>
      <c r="J582" s="11" t="inlineStr">
        <is>
          <t>高</t>
        </is>
      </c>
      <c r="K582" s="8" t="inlineStr">
        <is>
          <t>なし</t>
        </is>
      </c>
      <c r="L582" s="12" t="inlineStr">
        <is>
          <t>×</t>
        </is>
      </c>
      <c r="M582" s="13" t="inlineStr">
        <is>
          <t>運営の試作カード枠。自作カード制では不要</t>
        </is>
      </c>
    </row>
    <row r="583" ht="41.5" customHeight="1">
      <c r="A583" s="7" t="n">
        <v>582</v>
      </c>
      <c r="B583" s="8" t="inlineStr">
        <is>
          <t>特殊フォーマット</t>
        </is>
      </c>
      <c r="C583" s="8" t="inlineStr">
        <is>
          <t>デッキ構築</t>
        </is>
      </c>
      <c r="D583" s="9" t="inlineStr">
        <is>
          <t>ジャンプスタート</t>
        </is>
      </c>
      <c r="E583" s="10" t="inlineStr">
        <is>
          <t>Jumpstart</t>
        </is>
      </c>
      <c r="F583" s="7" t="n"/>
      <c r="G583" s="8" t="inlineStr">
        <is>
          <t>テーマ別の20枚入りパックを2つ混ぜるだけで40枚デッキが完成する遊び方。デッキ構築の手間をなくした入門向け製品。</t>
        </is>
      </c>
      <c r="H583" s="8" t="inlineStr">
        <is>
          <t>ジャンプスタート (2020)</t>
        </is>
      </c>
      <c r="I583" s="8" t="inlineStr">
        <is>
          <t>炎や盾のようなテーマ別のパケットを2つ選ぶだけでデッキが完成する。初心者向けや、ポイント制デッキを自作する前の体験モードに使える。</t>
        </is>
      </c>
      <c r="J583" s="11" t="inlineStr">
        <is>
          <t>高</t>
        </is>
      </c>
      <c r="K583" s="8" t="inlineStr">
        <is>
          <t>なし</t>
        </is>
      </c>
      <c r="L583" s="12" t="inlineStr">
        <is>
          <t>×</t>
        </is>
      </c>
      <c r="M583" s="13" t="inlineStr">
        <is>
          <t>パケット構築モード。カード要素ではない（プリセットデッキで代替済み）</t>
        </is>
      </c>
    </row>
    <row r="584" ht="41.5" customHeight="1">
      <c r="A584" s="7" t="n">
        <v>583</v>
      </c>
      <c r="B584" s="8" t="inlineStr">
        <is>
          <t>特殊フォーマット</t>
        </is>
      </c>
      <c r="C584" s="8" t="inlineStr">
        <is>
          <t>デッキ構築</t>
        </is>
      </c>
      <c r="D584" s="9" t="inlineStr">
        <is>
          <t>ジャンプイン！</t>
        </is>
      </c>
      <c r="E584" s="10" t="inlineStr">
        <is>
          <t>Jump In!</t>
        </is>
      </c>
      <c r="F584" s="7" t="n"/>
      <c r="G584" s="8" t="inlineStr">
        <is>
          <t>アリーナ版のジャンプスタート。提示されたパケット候補から2回選んでデッキを作り、使ったカードはコレクションに加わる。</t>
        </is>
      </c>
      <c r="H584" s="8" t="n"/>
      <c r="I584" s="10" t="inlineStr">
        <is>
          <t>3つの候補から1つ選ぶ操作を2回行ってデッキを作る。選択肢があるので偏りを防げる。パケット内のカードを報酬にするとコレクション要素にもなる。</t>
        </is>
      </c>
      <c r="J584" s="11" t="inlineStr">
        <is>
          <t>高</t>
        </is>
      </c>
      <c r="K584" s="8" t="inlineStr">
        <is>
          <t>パケット定義</t>
        </is>
      </c>
      <c r="L584" s="12" t="inlineStr">
        <is>
          <t>×</t>
        </is>
      </c>
      <c r="M584" s="13" t="inlineStr">
        <is>
          <t>同上。デッキ選択モードでカード要素ではない</t>
        </is>
      </c>
    </row>
    <row r="585" ht="37.5" customHeight="1">
      <c r="A585" s="7" t="n">
        <v>584</v>
      </c>
      <c r="B585" s="8" t="inlineStr">
        <is>
          <t>特殊フォーマット</t>
        </is>
      </c>
      <c r="C585" s="8" t="inlineStr">
        <is>
          <t>デッキ構築</t>
        </is>
      </c>
      <c r="D585" s="9" t="inlineStr">
        <is>
          <t>パウパー</t>
        </is>
      </c>
      <c r="E585" s="10" t="inlineStr">
        <is>
          <t>Pauper</t>
        </is>
      </c>
      <c r="F585" s="7" t="n"/>
      <c r="G585" s="8" t="inlineStr">
        <is>
          <t>コモンとして収録されたことのあるカードだけで組む構築フォーマット。低予算ながら競技性も高い。</t>
        </is>
      </c>
      <c r="H585" s="8" t="inlineStr">
        <is>
          <t>紙で公認化 (2019)</t>
        </is>
      </c>
      <c r="I585" s="8" t="inlineStr">
        <is>
          <t>コモンのみや総ポイント上限付きの制限フォーマットを設ける。レアリティの偏りを排除できるので、初心者向けや大会向けのルールに向く。</t>
        </is>
      </c>
      <c r="J585" s="11" t="inlineStr">
        <is>
          <t>高</t>
        </is>
      </c>
      <c r="K585" s="8" t="inlineStr">
        <is>
          <t>レアリティ</t>
        </is>
      </c>
      <c r="L585" s="12" t="inlineStr">
        <is>
          <t>×</t>
        </is>
      </c>
      <c r="M585" s="13" t="inlineStr">
        <is>
          <t>フォーマット規則。レアリティ別枚数上限が既にある</t>
        </is>
      </c>
    </row>
    <row r="586" ht="41.5" customHeight="1">
      <c r="A586" s="7" t="n">
        <v>585</v>
      </c>
      <c r="B586" s="8" t="inlineStr">
        <is>
          <t>特殊フォーマット</t>
        </is>
      </c>
      <c r="C586" s="8" t="inlineStr">
        <is>
          <t>デッキ構築</t>
        </is>
      </c>
      <c r="D586" s="9" t="inlineStr">
        <is>
          <t>ハイランダー</t>
        </is>
      </c>
      <c r="E586" s="10" t="inlineStr">
        <is>
          <t>Highlander (Singleton)</t>
        </is>
      </c>
      <c r="F586" s="7" t="n"/>
      <c r="G586" s="8" t="inlineStr">
        <is>
          <t>基本土地以外は同名カードを1枚ずつしか入れられない構築ルール。統率者戦もこの性質を持つ。</t>
        </is>
      </c>
      <c r="H586" s="8" t="n"/>
      <c r="I586" s="8" t="inlineStr">
        <is>
          <t>全カード1枚制限のフォーマット。毎試合の展開が変わり、自作カードの多様性が活きる。山札の中身が散らばるぶんサーチ効果の価値が上がる。</t>
        </is>
      </c>
      <c r="J586" s="11" t="inlineStr">
        <is>
          <t>高</t>
        </is>
      </c>
      <c r="K586" s="8" t="inlineStr">
        <is>
          <t>デッキ検証</t>
        </is>
      </c>
      <c r="L586" s="12" t="inlineStr">
        <is>
          <t>×</t>
        </is>
      </c>
      <c r="M586" s="13" t="inlineStr">
        <is>
          <t>フォーマット規則でカード要素ではない</t>
        </is>
      </c>
    </row>
    <row r="587" ht="41.5" customHeight="1">
      <c r="A587" s="7" t="n">
        <v>586</v>
      </c>
      <c r="B587" s="8" t="inlineStr">
        <is>
          <t>特殊フォーマット</t>
        </is>
      </c>
      <c r="C587" s="8" t="inlineStr">
        <is>
          <t>展開・トークン</t>
        </is>
      </c>
      <c r="D587" s="9" t="inlineStr">
        <is>
          <t>モミール・ベーシック</t>
        </is>
      </c>
      <c r="E587" s="10" t="inlineStr">
        <is>
          <t>Momir Basic</t>
        </is>
      </c>
      <c r="F587" s="7" t="n"/>
      <c r="G587" s="10" t="inlineStr">
        <is>
          <t>MOで遊ばれる形式。基本土地だけのデッキで戦い、ヴァンガード能力で支払ったマナと同じマナ総量の無作為なクリーチャーを毎ターン生み出す。</t>
        </is>
      </c>
      <c r="H587" s="8" t="n"/>
      <c r="I587" s="8" t="inlineStr">
        <is>
          <t>デッキはエネルギー源だけにし、Xエネルギーを払うとコストXのユニットを全カードから無作為生成して戦う。全カードの性能を比べる試験にもなる。</t>
        </is>
      </c>
      <c r="J587" s="11" t="inlineStr">
        <is>
          <t>高</t>
        </is>
      </c>
      <c r="K587" s="8" t="inlineStr">
        <is>
          <t>全カードDB</t>
        </is>
      </c>
      <c r="L587" s="12" t="inlineStr">
        <is>
          <t>×</t>
        </is>
      </c>
      <c r="M587" s="13" t="inlineStr">
        <is>
          <t>全カードDB・土地前提のモード</t>
        </is>
      </c>
    </row>
    <row r="588" ht="45.5" customHeight="1">
      <c r="A588" s="7" t="n">
        <v>587</v>
      </c>
      <c r="B588" s="8" t="inlineStr">
        <is>
          <t>特殊フォーマット</t>
        </is>
      </c>
      <c r="C588" s="8" t="inlineStr">
        <is>
          <t>多人数・交流</t>
        </is>
      </c>
      <c r="D588" s="9" t="inlineStr">
        <is>
          <t>ホード・マジック（通称）</t>
        </is>
      </c>
      <c r="E588" s="10" t="inlineStr">
        <is>
          <t>Horde Magic</t>
        </is>
      </c>
      <c r="F588" s="7" t="n"/>
      <c r="G588" s="8" t="inlineStr">
        <is>
          <t>自動で動く群れデッキに対し、複数人が協力して生き残るファン発の協力変種。群れは毎ターン山札の上を公開して展開する。</t>
        </is>
      </c>
      <c r="H588" s="8" t="n"/>
      <c r="I588" s="10" t="inlineStr">
        <is>
          <t>CPU敵を毎ターン山札の上のカードを自動で出すだけで作れる協力モード。AIを作り込まずに敵戦を量産でき、群れデッキの構成で難易度を調整できる。</t>
        </is>
      </c>
      <c r="J588" s="11" t="inlineStr">
        <is>
          <t>高</t>
        </is>
      </c>
      <c r="K588" s="8" t="inlineStr">
        <is>
          <t>自動行動デッキ</t>
        </is>
      </c>
      <c r="L588" s="12" t="inlineStr">
        <is>
          <t>×</t>
        </is>
      </c>
      <c r="M588" s="13" t="inlineStr">
        <is>
          <t>協力・多人数モード</t>
        </is>
      </c>
    </row>
    <row r="589" ht="45.5" customHeight="1">
      <c r="A589" s="7" t="n">
        <v>588</v>
      </c>
      <c r="B589" s="8" t="inlineStr">
        <is>
          <t>特殊フォーマット</t>
        </is>
      </c>
      <c r="C589" s="8" t="inlineStr">
        <is>
          <t>勝利条件</t>
        </is>
      </c>
      <c r="D589" s="9" t="inlineStr">
        <is>
          <t>チャレンジ・デッキ（非公式訳）</t>
        </is>
      </c>
      <c r="E589" s="10" t="inlineStr">
        <is>
          <t>Challenge Deck</t>
        </is>
      </c>
      <c r="F589" s="7" t="n"/>
      <c r="G589" s="8" t="inlineStr">
        <is>
          <t>テーロス期の自動進行デッキ。専用カードで構成された敵が決まった手順で動き、プレイヤーは敵ごとの勝利条件の達成を目指す。</t>
        </is>
      </c>
      <c r="H589" s="8" t="inlineStr">
        <is>
          <t>テーロス期 Face the Hydra (2013)</t>
        </is>
      </c>
      <c r="I589" s="8" t="inlineStr">
        <is>
          <t>ボスごとに専用の行動デッキと勝利条件を用意したPvEモード。ヒドラの首を一定数落とすなど目標を変えれば、CPU戦にパズル性を持たせられる。</t>
        </is>
      </c>
      <c r="J589" s="11" t="inlineStr">
        <is>
          <t>中</t>
        </is>
      </c>
      <c r="K589" s="10" t="inlineStr">
        <is>
          <t>CPU行動デッキ</t>
        </is>
      </c>
      <c r="L589" s="12" t="inlineStr">
        <is>
          <t>×</t>
        </is>
      </c>
      <c r="M589" s="13" t="inlineStr">
        <is>
          <t>PvE専用行動デッキが要る別企画</t>
        </is>
      </c>
    </row>
    <row r="590" ht="45.5" customHeight="1">
      <c r="A590" s="7" t="n">
        <v>589</v>
      </c>
      <c r="B590" s="8" t="inlineStr">
        <is>
          <t>特殊フォーマット</t>
        </is>
      </c>
      <c r="C590" s="8" t="inlineStr">
        <is>
          <t>デッキ構築</t>
        </is>
      </c>
      <c r="D590" s="9" t="inlineStr">
        <is>
          <t>シャンダラー（非公式訳）</t>
        </is>
      </c>
      <c r="E590" s="10" t="inlineStr">
        <is>
          <t>Shandalar</t>
        </is>
      </c>
      <c r="F590" s="7" t="n"/>
      <c r="G590" s="10" t="inlineStr">
        <is>
          <t>PCゲーム版のRPGモード。フィールドを歩き、敵と戦ってカードを獲得しながらデッキを育て、5人の魔術師を倒す。</t>
        </is>
      </c>
      <c r="H590" s="10" t="inlineStr">
        <is>
          <t>MicroProse版PCゲーム (1997)</t>
        </is>
      </c>
      <c r="I590" s="10" t="inlineStr">
        <is>
          <t>StS型の冒険モードに直結する。マップ移動、敵撃破、カード報酬、デッキ成長を対戦用カードプールで遊ばせ、オンライン対戦のデッキ作りへの導線にする。</t>
        </is>
      </c>
      <c r="J590" s="11" t="inlineStr">
        <is>
          <t>低</t>
        </is>
      </c>
      <c r="K590" s="8" t="inlineStr">
        <is>
          <t>マップとCPU</t>
        </is>
      </c>
      <c r="L590" s="12" t="inlineStr">
        <is>
          <t>×</t>
        </is>
      </c>
      <c r="M590" s="13" t="inlineStr">
        <is>
          <t>RPGモード。規模が大きすぎる</t>
        </is>
      </c>
    </row>
    <row r="591" ht="41.5" customHeight="1">
      <c r="A591" s="7" t="n">
        <v>590</v>
      </c>
      <c r="B591" s="8" t="inlineStr">
        <is>
          <t>特殊フォーマット</t>
        </is>
      </c>
      <c r="C591" s="8" t="inlineStr">
        <is>
          <t>勝利条件</t>
        </is>
      </c>
      <c r="D591" s="9" t="inlineStr">
        <is>
          <t>パズル（通称）</t>
        </is>
      </c>
      <c r="E591" s="10" t="inlineStr">
        <is>
          <t>Puzzles</t>
        </is>
      </c>
      <c r="F591" s="7" t="n"/>
      <c r="G591" s="8" t="inlineStr">
        <is>
          <t>決められた盤面と手札から、そのターン中に勝つ手順を探すなどの詰め将棋型の問題。アリーナやウェブで出題されてきた。</t>
        </is>
      </c>
      <c r="H591" s="8" t="n"/>
      <c r="I591" s="8" t="inlineStr">
        <is>
          <t>このターンで勝て形式の1人用問題を収録する。CPUを作らずにカード効果の学習と遊びを提供でき、ユーザー投稿パズルにも拡張できる。</t>
        </is>
      </c>
      <c r="J591" s="11" t="inlineStr">
        <is>
          <t>高</t>
        </is>
      </c>
      <c r="K591" s="8" t="inlineStr">
        <is>
          <t>盤面プリセット</t>
        </is>
      </c>
      <c r="L591" s="12" t="inlineStr">
        <is>
          <t>×</t>
        </is>
      </c>
      <c r="M591" s="13" t="inlineStr">
        <is>
          <t>盤面プリセット付きパズルモード。カード要素ではない（別企画）</t>
        </is>
      </c>
    </row>
    <row r="592" ht="37.5" customHeight="1">
      <c r="A592" s="7" t="n">
        <v>591</v>
      </c>
      <c r="B592" s="8" t="inlineStr">
        <is>
          <t>特殊フォーマット</t>
        </is>
      </c>
      <c r="C592" s="8" t="inlineStr">
        <is>
          <t>その他</t>
        </is>
      </c>
      <c r="D592" s="9" t="inlineStr">
        <is>
          <t>銀枠／どんぐりカード（通称）</t>
        </is>
      </c>
      <c r="E592" s="10" t="inlineStr">
        <is>
          <t>Silver-bordered / acorn cards</t>
        </is>
      </c>
      <c r="F592" s="7" t="n"/>
      <c r="G592" s="8" t="inlineStr">
        <is>
          <t>冗談やルール外の行為（体を動かす、会話するなど）を扱うUn-セットのカード。公式の構築では使えない。</t>
        </is>
      </c>
      <c r="H592" s="10" t="inlineStr">
        <is>
          <t>Unglued (1998)</t>
        </is>
      </c>
      <c r="I592" s="8" t="inlineStr">
        <is>
          <t>期間限定のおふざけカードをイベント用に出す。チャット発言を条件にするなどオンライン特有の遊びも可能。通常のランク戦からは隔離して運用する。</t>
        </is>
      </c>
      <c r="J592" s="11" t="inlineStr">
        <is>
          <t>中</t>
        </is>
      </c>
      <c r="K592" s="8" t="inlineStr">
        <is>
          <t>イベント枠</t>
        </is>
      </c>
      <c r="L592" s="12" t="inlineStr">
        <is>
          <t>×</t>
        </is>
      </c>
      <c r="M592" s="13" t="inlineStr">
        <is>
          <t>ルール外のおふざけ枠。不要</t>
        </is>
      </c>
    </row>
    <row r="593" ht="37.5" customHeight="1">
      <c r="A593" s="7" t="n">
        <v>592</v>
      </c>
      <c r="B593" s="8" t="inlineStr">
        <is>
          <t>特殊フォーマット</t>
        </is>
      </c>
      <c r="C593" s="8" t="inlineStr">
        <is>
          <t>デッキ構築</t>
        </is>
      </c>
      <c r="D593" s="9" t="inlineStr">
        <is>
          <t>アルケミー</t>
        </is>
      </c>
      <c r="E593" s="10" t="inlineStr">
        <is>
          <t>Alchemy</t>
        </is>
      </c>
      <c r="F593" s="7" t="n"/>
      <c r="G593" s="8" t="inlineStr">
        <is>
          <t>アリーナ専用のローテーション制フォーマット。スタンダードのカードとデジタル専用カードを使い、カードの再調整も行う。</t>
        </is>
      </c>
      <c r="H593" s="8" t="inlineStr">
        <is>
          <t>アルケミー：イニストラード (2021)</t>
        </is>
      </c>
      <c r="I593" s="8" t="inlineStr">
        <is>
          <t>紙では作れないカードを解禁する別ルール環境を併設し、実験的なデジタル効果を試す場にする。環境を分けることで本流のバランスを守れる。</t>
        </is>
      </c>
      <c r="J593" s="11" t="inlineStr">
        <is>
          <t>中</t>
        </is>
      </c>
      <c r="K593" s="8" t="inlineStr">
        <is>
          <t>環境の分離</t>
        </is>
      </c>
      <c r="L593" s="12" t="inlineStr">
        <is>
          <t>×</t>
        </is>
      </c>
      <c r="M593" s="13" t="inlineStr">
        <is>
          <t>運営環境の分離。カード要素ではない</t>
        </is>
      </c>
    </row>
    <row r="594" ht="37.5" customHeight="1">
      <c r="A594" s="7" t="n">
        <v>593</v>
      </c>
      <c r="B594" s="8" t="inlineStr">
        <is>
          <t>特殊フォーマット</t>
        </is>
      </c>
      <c r="C594" s="8" t="inlineStr">
        <is>
          <t>デッキ構築</t>
        </is>
      </c>
      <c r="D594" s="9" t="inlineStr">
        <is>
          <t>スタンダードとローテーション</t>
        </is>
      </c>
      <c r="E594" s="10" t="inlineStr">
        <is>
          <t>Standard and rotation</t>
        </is>
      </c>
      <c r="F594" s="7" t="n"/>
      <c r="G594" s="8" t="inlineStr">
        <is>
          <t>最近のセットのカードだけを使える構築フォーマット。新セットの発売に合わせて古いセットが使えなくなり、環境が入れ替わる。</t>
        </is>
      </c>
      <c r="H594" s="8" t="n"/>
      <c r="I594" s="8" t="inlineStr">
        <is>
          <t>直近のカード群だけ使えるシーズン環境を設け、定期的に入れ替える。新カードが活躍しやすく、ポイント調整の対象も絞れる。</t>
        </is>
      </c>
      <c r="J594" s="11" t="inlineStr">
        <is>
          <t>中</t>
        </is>
      </c>
      <c r="K594" s="8" t="inlineStr">
        <is>
          <t>カード世代管理</t>
        </is>
      </c>
      <c r="L594" s="12" t="inlineStr">
        <is>
          <t>×</t>
        </is>
      </c>
      <c r="M594" s="13" t="inlineStr">
        <is>
          <t>セット・ローテーションが無い</t>
        </is>
      </c>
    </row>
    <row r="595" ht="41.5" customHeight="1">
      <c r="A595" s="7" t="n">
        <v>594</v>
      </c>
      <c r="B595" s="8" t="inlineStr">
        <is>
          <t>特殊フォーマット</t>
        </is>
      </c>
      <c r="C595" s="8" t="inlineStr">
        <is>
          <t>デッキ構築</t>
        </is>
      </c>
      <c r="D595" s="9" t="inlineStr">
        <is>
          <t>禁止・制限カード</t>
        </is>
      </c>
      <c r="E595" s="10" t="inlineStr">
        <is>
          <t>Banned and restricted list</t>
        </is>
      </c>
      <c r="F595" s="7" t="n"/>
      <c r="G595" s="8" t="inlineStr">
        <is>
          <t>フォーマットごとに使えないカード（禁止）や1枚しか入れられないカード（制限）を定める一覧。ヴィンテージは制限が中心。</t>
        </is>
      </c>
      <c r="H595" s="8" t="n"/>
      <c r="I595" s="8" t="inlineStr">
        <is>
          <t>ポイントで均衡しきれない強カードは禁止か1枚制限にする。制限はレアリティ由来の上限とは別枠で管理し、シーズンごとに見直す。</t>
        </is>
      </c>
      <c r="J595" s="11" t="inlineStr">
        <is>
          <t>高</t>
        </is>
      </c>
      <c r="K595" s="8" t="inlineStr">
        <is>
          <t>デッキ検証</t>
        </is>
      </c>
      <c r="L595" s="12" t="inlineStr">
        <is>
          <t>×</t>
        </is>
      </c>
      <c r="M595" s="13" t="inlineStr">
        <is>
          <t>ポイント制で均衡させる方針。禁止表はカード要素ではない</t>
        </is>
      </c>
    </row>
    <row r="596" ht="45.5" customHeight="1">
      <c r="A596" s="7" t="n">
        <v>595</v>
      </c>
      <c r="B596" s="8" t="inlineStr">
        <is>
          <t>デザイン手法</t>
        </is>
      </c>
      <c r="C596" s="8" t="inlineStr">
        <is>
          <t>展開・トークン</t>
        </is>
      </c>
      <c r="D596" s="14" t="inlineStr">
        <is>
          <t>ETB（戦場に出たとき）（通称）</t>
        </is>
      </c>
      <c r="E596" s="10" t="inlineStr">
        <is>
          <t>Enters-the-battlefield trigger (ETB)</t>
        </is>
      </c>
      <c r="F596" s="7" t="n"/>
      <c r="G596" s="8" t="inlineStr">
        <is>
          <t>パーマネントが戦場に出たときに1回誘発する能力。本体の性能と即時効果を1枚で提供でき、出し直す効果との相乗効果も生む。</t>
        </is>
      </c>
      <c r="H596" s="8" t="n"/>
      <c r="I596" s="8" t="inlineStr">
        <is>
          <t>設置時に効果を持つユニットや設置物。出た瞬間の価値が読みやすくポイントを算定しやすい。一度消して出し直す効果と組み合わせると反復使用ができる。</t>
        </is>
      </c>
      <c r="J596" s="11" t="inlineStr">
        <is>
          <t>高</t>
        </is>
      </c>
      <c r="K596" s="8" t="inlineStr">
        <is>
          <t>場に残るカード</t>
        </is>
      </c>
      <c r="L596" s="12" t="inlineStr">
        <is>
          <t>×</t>
        </is>
      </c>
      <c r="M596" s="13" t="inlineStr">
        <is>
          <t>既存：タイミング『召喚時』</t>
        </is>
      </c>
    </row>
    <row r="597" ht="37.5" customHeight="1">
      <c r="A597" s="7" t="n">
        <v>596</v>
      </c>
      <c r="B597" s="8" t="inlineStr">
        <is>
          <t>デザイン手法</t>
        </is>
      </c>
      <c r="C597" s="8" t="inlineStr">
        <is>
          <t>条件ボーナス</t>
        </is>
      </c>
      <c r="D597" s="14" t="inlineStr">
        <is>
          <t>PIG（死亡誘発）（通称）</t>
        </is>
      </c>
      <c r="E597" s="10" t="inlineStr">
        <is>
          <t>Dies trigger</t>
        </is>
      </c>
      <c r="F597" s="7" t="n"/>
      <c r="G597" s="8" t="inlineStr">
        <is>
          <t>クリーチャーが戦場から墓地に置かれたときに誘発する能力。除去されても価値が残るので、除去への耐性を作れる。</t>
        </is>
      </c>
      <c r="H597" s="8" t="n"/>
      <c r="I597" s="8" t="inlineStr">
        <is>
          <t>倒されたときに効果が出るユニット。除去を撃たれても損をしにくく、自分で廃棄するカードと相性がよい。死亡時効果は発動条件のぶんポイントを割り引く。</t>
        </is>
      </c>
      <c r="J597" s="11" t="inlineStr">
        <is>
          <t>高</t>
        </is>
      </c>
      <c r="K597" s="8" t="inlineStr">
        <is>
          <t>ユニット破壊</t>
        </is>
      </c>
      <c r="L597" s="12" t="inlineStr">
        <is>
          <t>×</t>
        </is>
      </c>
      <c r="M597" s="13" t="inlineStr">
        <is>
          <t>既存：タイミング『破壊されたとき』</t>
        </is>
      </c>
    </row>
    <row r="598" ht="41.5" customHeight="1">
      <c r="A598" s="7" t="n">
        <v>597</v>
      </c>
      <c r="B598" s="8" t="inlineStr">
        <is>
          <t>デザイン手法</t>
        </is>
      </c>
      <c r="C598" s="8" t="inlineStr">
        <is>
          <t>反復・再利用</t>
        </is>
      </c>
      <c r="D598" s="9" t="inlineStr">
        <is>
          <t>生け贄エンジン（アリストクラッツ）（通称）</t>
        </is>
      </c>
      <c r="E598" s="10" t="inlineStr">
        <is>
          <t>Sacrifice engine (Aristocrats)</t>
        </is>
      </c>
      <c r="F598" s="7" t="n"/>
      <c r="G598" s="8" t="inlineStr">
        <is>
          <t>自軍を生け贄に捧げるコストで利益を得るカードと死亡誘発を組み合わせ、繰り返し価値を生む戦略。</t>
        </is>
      </c>
      <c r="H598" s="8" t="n"/>
      <c r="I598" s="8" t="inlineStr">
        <is>
          <t>自分のユニットや設置物を廃棄してエネルギーやドローを得るカード群。死亡時効果との連鎖でコンボが生まれる。無限ループを防ぐため1ターンの回数上限を設ける。</t>
        </is>
      </c>
      <c r="J598" s="11" t="inlineStr">
        <is>
          <t>中</t>
        </is>
      </c>
      <c r="K598" s="8" t="inlineStr">
        <is>
          <t>廃棄処理</t>
        </is>
      </c>
      <c r="L598" s="12" t="inlineStr">
        <is>
          <t>◎</t>
        </is>
      </c>
      <c r="M598" s="13" t="inlineStr">
        <is>
          <t>【今回実装：自分の他のモンスターが破壊されるたび・生け贄】今回実装 デメリット『生け贄』＋タイミング『自分の他のモンスターが破壊されるたび』</t>
        </is>
      </c>
    </row>
    <row r="599" ht="45.5" customHeight="1">
      <c r="A599" s="7" t="n">
        <v>598</v>
      </c>
      <c r="B599" s="8" t="inlineStr">
        <is>
          <t>デザイン手法</t>
        </is>
      </c>
      <c r="C599" s="8" t="inlineStr">
        <is>
          <t>強化</t>
        </is>
      </c>
      <c r="D599" s="9" t="inlineStr">
        <is>
          <t>ロード（全体強化）（通称）</t>
        </is>
      </c>
      <c r="E599" s="10" t="inlineStr">
        <is>
          <t>Lord / anthem</t>
        </is>
      </c>
      <c r="F599" s="7" t="n"/>
      <c r="G599" s="8" t="inlineStr">
        <is>
          <t>特定タイプや自軍全体のパワー・タフネスを常に上げるクリーチャーやエンチャント。横に並べる戦略を後押しする。</t>
        </is>
      </c>
      <c r="H599" s="8" t="inlineStr">
        <is>
          <t>アルファ (1993)</t>
        </is>
      </c>
      <c r="I599" s="8" t="inlineStr">
        <is>
          <t>味方ユニット全員の攻撃+1や、炎属性カードの威力+1。効果量×対象数で価値が膨らむため、ポイントは想定される対象数を掛けて評価する。</t>
        </is>
      </c>
      <c r="J599" s="11" t="inlineStr">
        <is>
          <t>高</t>
        </is>
      </c>
      <c r="K599" s="8" t="inlineStr">
        <is>
          <t>常在効果</t>
        </is>
      </c>
      <c r="L599" s="12" t="inlineStr">
        <is>
          <t>◎</t>
        </is>
      </c>
      <c r="M599" s="13" t="inlineStr">
        <is>
          <t>【今回実装：自分のモンスター全体】今回実装 対象『自分のモンスター全体』allyMonsters に統合（#446）</t>
        </is>
      </c>
    </row>
    <row r="600" ht="45.5" customHeight="1">
      <c r="A600" s="7" t="n">
        <v>599</v>
      </c>
      <c r="B600" s="8" t="inlineStr">
        <is>
          <t>デザイン手法</t>
        </is>
      </c>
      <c r="C600" s="8" t="inlineStr">
        <is>
          <t>その他</t>
        </is>
      </c>
      <c r="D600" s="9" t="inlineStr">
        <is>
          <t>モード選択（通称）</t>
        </is>
      </c>
      <c r="E600" s="10" t="inlineStr">
        <is>
          <t>Modal spell</t>
        </is>
      </c>
      <c r="F600" s="7" t="inlineStr">
        <is>
          <t>700.2</t>
        </is>
      </c>
      <c r="G600" s="8" t="inlineStr">
        <is>
          <t>複数の効果から1つ（または複数）を選んで使う呪文。状況に応じて腐りにくく、汎用性そのものが価値になる。</t>
        </is>
      </c>
      <c r="H600" s="8" t="inlineStr">
        <is>
          <t>アルファ (1993)</t>
        </is>
      </c>
      <c r="I600" s="10" t="inlineStr">
        <is>
          <t>3つから1つを選ぶカードは、各モードの最大値に汎用性ボーナスを足してポイントを計算する。2つ選べる上位版をレアに置くとレアリティの差も表現できる。</t>
        </is>
      </c>
      <c r="J600" s="11" t="inlineStr">
        <is>
          <t>高</t>
        </is>
      </c>
      <c r="K600" s="8" t="inlineStr">
        <is>
          <t>選択UI</t>
        </is>
      </c>
      <c r="L600" s="12" t="inlineStr">
        <is>
          <t>◎</t>
        </is>
      </c>
      <c r="M600" s="13" t="inlineStr">
        <is>
          <t>【今回実装：モード選択（次のうち1つを選ぶ）（`modes`・バッチC2）】（審査時は○）『次のうち1つを選ぶ』：効果ごとに選択肢グループを持たせる。最大モードの価格+20%。選択UIが要る</t>
        </is>
      </c>
    </row>
    <row r="601" ht="45.5" customHeight="1">
      <c r="A601" s="7" t="n">
        <v>600</v>
      </c>
      <c r="B601" s="8" t="inlineStr">
        <is>
          <t>デザイン手法</t>
        </is>
      </c>
      <c r="C601" s="8" t="inlineStr">
        <is>
          <t>攻撃</t>
        </is>
      </c>
      <c r="D601" s="14" t="inlineStr">
        <is>
          <t>X呪文（通称）</t>
        </is>
      </c>
      <c r="E601" s="10" t="inlineStr">
        <is>
          <t>X spell</t>
        </is>
      </c>
      <c r="F601" s="7" t="inlineStr">
        <is>
          <t>107.3</t>
        </is>
      </c>
      <c r="G601" s="8" t="inlineStr">
        <is>
          <t>コストにXを含み、支払った量に応じて効果が大きくなる呪文。序盤から終盤まで腐りにくい。</t>
        </is>
      </c>
      <c r="H601" s="8" t="inlineStr">
        <is>
          <t>アルファ (1993)</t>
        </is>
      </c>
      <c r="I601" s="8" t="inlineStr">
        <is>
          <t>残りエネルギーをすべて注いでX点ダメージ。エネルギー制と相性抜群。ポイントは1エネルギー当たりの効率で決め、X=0での空撃ちも許容する。</t>
        </is>
      </c>
      <c r="J601" s="11" t="inlineStr">
        <is>
          <t>高</t>
        </is>
      </c>
      <c r="K601" s="8" t="inlineStr">
        <is>
          <t>エネルギー</t>
        </is>
      </c>
      <c r="L601" s="12" t="inlineStr">
        <is>
          <t>◎</t>
        </is>
      </c>
      <c r="M601" s="13" t="inlineStr">
        <is>
          <t>【今回実装：X（全力）】今回実装 修飾『X』xEnergy：残りエナジーを全部使い、数値×使ったエナジー</t>
        </is>
      </c>
    </row>
    <row r="602" ht="41.5" customHeight="1">
      <c r="A602" s="7" t="n">
        <v>601</v>
      </c>
      <c r="B602" s="8" t="inlineStr">
        <is>
          <t>デザイン手法</t>
        </is>
      </c>
      <c r="C602" s="8" t="inlineStr">
        <is>
          <t>妨害</t>
        </is>
      </c>
      <c r="D602" s="9" t="inlineStr">
        <is>
          <t>打ち消し（カウンター呪文）（通称）</t>
        </is>
      </c>
      <c r="E602" s="10" t="inlineStr">
        <is>
          <t>Counterspell</t>
        </is>
      </c>
      <c r="F602" s="7" t="inlineStr">
        <is>
          <t>701.6</t>
        </is>
      </c>
      <c r="G602" s="8" t="inlineStr">
        <is>
          <t>相手が唱えた呪文をスタック上で無効にする。相手の行動に割り込む必要があり、青の代表的な役割。</t>
        </is>
      </c>
      <c r="H602" s="8" t="inlineStr">
        <is>
          <t>アルファ (1993)</t>
        </is>
      </c>
      <c r="I602" s="8" t="inlineStr">
        <is>
          <t>割り込みを作らないなら、相手が次に使うカード1枚を無効化する罠を事前に設置する形に置き換える。オンラインで待ち時間を生まない打ち消しになる。</t>
        </is>
      </c>
      <c r="J602" s="11" t="inlineStr">
        <is>
          <t>低</t>
        </is>
      </c>
      <c r="K602" s="8" t="inlineStr">
        <is>
          <t>割り込みまたは罠</t>
        </is>
      </c>
      <c r="L602" s="12" t="inlineStr">
        <is>
          <t>◎</t>
        </is>
      </c>
      <c r="M602" s="13" t="inlineStr">
        <is>
          <t>【今回実装：効果『封殺』（#410 と統合）（`quash`・バッチB）】（審査時は○）効果『封じ』：相手が次に使うカード1枚の効果を無効にする（罠状態）。割り込み不要。約30pt</t>
        </is>
      </c>
    </row>
    <row r="603" ht="37.5" customHeight="1">
      <c r="A603" s="7" t="n">
        <v>602</v>
      </c>
      <c r="B603" s="8" t="inlineStr">
        <is>
          <t>デザイン手法</t>
        </is>
      </c>
      <c r="C603" s="8" t="inlineStr">
        <is>
          <t>除去</t>
        </is>
      </c>
      <c r="D603" s="9" t="inlineStr">
        <is>
          <t>バウンス（通称）</t>
        </is>
      </c>
      <c r="E603" s="10" t="inlineStr">
        <is>
          <t>Bounce</t>
        </is>
      </c>
      <c r="F603" s="7" t="n"/>
      <c r="G603" s="8" t="inlineStr">
        <is>
          <t>パーマネントを持ち主の手札に戻す除去。トークンは消え、カウンターや強化もリセットされる。</t>
        </is>
      </c>
      <c r="H603" s="8" t="inlineStr">
        <is>
          <t>アルファ (1993)</t>
        </is>
      </c>
      <c r="I603" s="8" t="inlineStr">
        <is>
          <t>相手ユニットを手札に戻し、再展開のエネルギーを使わせるテンポ除去。積み上げたバフも消えるので、強化型デッキへの対策枠になる。</t>
        </is>
      </c>
      <c r="J603" s="11" t="inlineStr">
        <is>
          <t>高</t>
        </is>
      </c>
      <c r="K603" s="8" t="inlineStr">
        <is>
          <t>場と手札</t>
        </is>
      </c>
      <c r="L603" s="12" t="inlineStr">
        <is>
          <t>×</t>
        </is>
      </c>
      <c r="M603" s="13" t="inlineStr">
        <is>
          <t>既存：バウンス</t>
        </is>
      </c>
    </row>
    <row r="604" ht="37.5" customHeight="1">
      <c r="A604" s="7" t="n">
        <v>603</v>
      </c>
      <c r="B604" s="8" t="inlineStr">
        <is>
          <t>デザイン手法</t>
        </is>
      </c>
      <c r="C604" s="8" t="inlineStr">
        <is>
          <t>墓地利用</t>
        </is>
      </c>
      <c r="D604" s="9" t="inlineStr">
        <is>
          <t>リアニメイト（通称）</t>
        </is>
      </c>
      <c r="E604" s="10" t="inlineStr">
        <is>
          <t>Reanimation</t>
        </is>
      </c>
      <c r="F604" s="7" t="n"/>
      <c r="G604" s="8" t="inlineStr">
        <is>
          <t>墓地のクリーチャーを戦場に直接戻す。墓地に重いカードを送ってから安く復活させる戦略が生まれる。</t>
        </is>
      </c>
      <c r="H604" s="8" t="inlineStr">
        <is>
          <t>アルファ (1993)</t>
        </is>
      </c>
      <c r="I604" s="8" t="inlineStr">
        <is>
          <t>捨て札置き場のユニットを直接場に戻すカード。高コストのユニットを捨ててから蘇生する近道ができるため、蘇生できるコストの上限でポイントを調整する。</t>
        </is>
      </c>
      <c r="J604" s="11" t="inlineStr">
        <is>
          <t>高</t>
        </is>
      </c>
      <c r="K604" s="8" t="inlineStr">
        <is>
          <t>捨て札ゾーン</t>
        </is>
      </c>
      <c r="L604" s="12" t="inlineStr">
        <is>
          <t>×</t>
        </is>
      </c>
      <c r="M604" s="13" t="inlineStr">
        <is>
          <t>既存：蘇生</t>
        </is>
      </c>
    </row>
    <row r="605" ht="45.5" customHeight="1">
      <c r="A605" s="7" t="n">
        <v>604</v>
      </c>
      <c r="B605" s="8" t="inlineStr">
        <is>
          <t>デザイン手法</t>
        </is>
      </c>
      <c r="C605" s="8" t="inlineStr">
        <is>
          <t>展開・トークン</t>
        </is>
      </c>
      <c r="D605" s="9" t="inlineStr">
        <is>
          <t>トークン生成（通称）</t>
        </is>
      </c>
      <c r="E605" s="10" t="inlineStr">
        <is>
          <t>Token generation</t>
        </is>
      </c>
      <c r="F605" s="7" t="inlineStr">
        <is>
          <t>701.7</t>
        </is>
      </c>
      <c r="G605" s="8" t="inlineStr">
        <is>
          <t>カードではないパーマネント（トークン）を生成する。戦場を離れると消滅し、横に並べる戦略の土台になる。</t>
        </is>
      </c>
      <c r="H605" s="8" t="n"/>
      <c r="I605" s="10" t="inlineStr">
        <is>
          <t>1/1の兵士を3体のように、カード外のユニットを生成する。場を離れたら消えるので山札を圧迫しない。生成数×性能でポイントを算出する。</t>
        </is>
      </c>
      <c r="J605" s="11" t="inlineStr">
        <is>
          <t>高</t>
        </is>
      </c>
      <c r="K605" s="8" t="inlineStr">
        <is>
          <t>場</t>
        </is>
      </c>
      <c r="L605" s="12" t="inlineStr">
        <is>
          <t>◎</t>
        </is>
      </c>
      <c r="M605" s="13" t="inlineStr">
        <is>
          <t>【今回実装：トークン生成】今回実装 効果『トークン生成』token：攻撃力・体力Nの小鬼をM体出す（場を離れたら消える）</t>
        </is>
      </c>
    </row>
    <row r="606" ht="41.5" customHeight="1">
      <c r="A606" s="7" t="n">
        <v>605</v>
      </c>
      <c r="B606" s="8" t="inlineStr">
        <is>
          <t>デザイン手法</t>
        </is>
      </c>
      <c r="C606" s="8" t="inlineStr">
        <is>
          <t>勝利条件</t>
        </is>
      </c>
      <c r="D606" s="9" t="inlineStr">
        <is>
          <t>代替勝利条件（特殊勝利）（通称）</t>
        </is>
      </c>
      <c r="E606" s="10" t="inlineStr">
        <is>
          <t>Alternate win condition</t>
        </is>
      </c>
      <c r="F606" s="7" t="inlineStr">
        <is>
          <t>104.2</t>
        </is>
      </c>
      <c r="G606" s="8" t="inlineStr">
        <is>
          <t>ライフを0にする以外の方法で勝つカード。特定の条件を達成すると即座に勝利する。</t>
        </is>
      </c>
      <c r="H606" s="8" t="n"/>
      <c r="I606" s="8" t="inlineStr">
        <is>
          <t>呪いカードを10枚集めたら勝ちのような特殊勝利を入れる。条件の難しさと妨害手段の有無でポイントを決め、相手に進捗を表示して対策の機会を与える。</t>
        </is>
      </c>
      <c r="J606" s="11" t="inlineStr">
        <is>
          <t>中</t>
        </is>
      </c>
      <c r="K606" s="8" t="inlineStr">
        <is>
          <t>勝利判定</t>
        </is>
      </c>
      <c r="L606" s="12" t="inlineStr">
        <is>
          <t>△</t>
        </is>
      </c>
      <c r="M606" s="13" t="inlineStr">
        <is>
          <t>効果『特殊勝利』：例『呪いカードを10枚使ったら勝ち』。進捗表示とCPU対応が要る。レジェンド限定</t>
        </is>
      </c>
    </row>
    <row r="607" ht="41.5" customHeight="1">
      <c r="A607" s="7" t="n">
        <v>606</v>
      </c>
      <c r="B607" s="8" t="inlineStr">
        <is>
          <t>デザイン手法</t>
        </is>
      </c>
      <c r="C607" s="8" t="inlineStr">
        <is>
          <t>コスト・リソース</t>
        </is>
      </c>
      <c r="D607" s="9" t="inlineStr">
        <is>
          <t>追加コスト</t>
        </is>
      </c>
      <c r="E607" s="10" t="inlineStr">
        <is>
          <t>Additional cost</t>
        </is>
      </c>
      <c r="F607" s="7" t="inlineStr">
        <is>
          <t>118.8</t>
        </is>
      </c>
      <c r="G607" s="8" t="inlineStr">
        <is>
          <t>マナに加えて生け贄、手札を捨てる、ライフを払うなどを要求するコスト。代償を課すぶん効果を強くできる。</t>
        </is>
      </c>
      <c r="H607" s="8" t="n"/>
      <c r="I607" s="8" t="inlineStr">
        <is>
          <t>手札1枚を捨てる、HP3を払うなどを追加コストに設定すると、そのぶんポイント予算が増えるルールにする。デメリットの価値を数値化できる。</t>
        </is>
      </c>
      <c r="J607" s="11" t="inlineStr">
        <is>
          <t>高</t>
        </is>
      </c>
      <c r="K607" s="8" t="inlineStr">
        <is>
          <t>なし</t>
        </is>
      </c>
      <c r="L607" s="12" t="inlineStr">
        <is>
          <t>×</t>
        </is>
      </c>
      <c r="M607" s="13" t="inlineStr">
        <is>
          <t>既存：デメリット（自傷・手札喪失など）が追加コストの役割</t>
        </is>
      </c>
    </row>
    <row r="608" ht="45.5" customHeight="1">
      <c r="A608" s="7" t="n">
        <v>607</v>
      </c>
      <c r="B608" s="8" t="inlineStr">
        <is>
          <t>デザイン手法</t>
        </is>
      </c>
      <c r="C608" s="8" t="inlineStr">
        <is>
          <t>コスト・リソース</t>
        </is>
      </c>
      <c r="D608" s="9" t="inlineStr">
        <is>
          <t>ピッチスペル（代替コスト）（通称）</t>
        </is>
      </c>
      <c r="E608" s="10" t="inlineStr">
        <is>
          <t>Pitch spell (alternative cost)</t>
        </is>
      </c>
      <c r="F608" s="7" t="inlineStr">
        <is>
          <t>118.9</t>
        </is>
      </c>
      <c r="G608" s="8" t="inlineStr">
        <is>
          <t>マナの代わりに手札のカードを追放するなどの代替コストで唱えられる呪文。0マナで唱えられるため奇襲性が高い。</t>
        </is>
      </c>
      <c r="H608" s="8" t="inlineStr">
        <is>
          <t>アライアンス (1996)</t>
        </is>
      </c>
      <c r="I608" s="8" t="inlineStr">
        <is>
          <t>エネルギーの代わりに同属性のカード1枚を廃棄して使えるようにする。カード1枚の損と引き換えにテンポを得る選択肢になり、代替手段のぶんポイントを上乗せする。</t>
        </is>
      </c>
      <c r="J608" s="11" t="inlineStr">
        <is>
          <t>高</t>
        </is>
      </c>
      <c r="K608" s="8" t="inlineStr">
        <is>
          <t>手札</t>
        </is>
      </c>
      <c r="L608" s="12" t="inlineStr">
        <is>
          <t>△</t>
        </is>
      </c>
      <c r="M608" s="13" t="inlineStr">
        <is>
          <t>キーワード『代替コスト』：手札1枚を除外すればコスト0で使える。使用時の選択UIが要る</t>
        </is>
      </c>
    </row>
    <row r="609" ht="41.5" customHeight="1">
      <c r="A609" s="7" t="n">
        <v>608</v>
      </c>
      <c r="B609" s="8" t="inlineStr">
        <is>
          <t>デザイン手法</t>
        </is>
      </c>
      <c r="C609" s="8" t="inlineStr">
        <is>
          <t>コスト・リソース</t>
        </is>
      </c>
      <c r="D609" s="9" t="inlineStr">
        <is>
          <t>条件付きコスト軽減（通称）</t>
        </is>
      </c>
      <c r="E609" s="10" t="inlineStr">
        <is>
          <t>Conditional cost reduction</t>
        </is>
      </c>
      <c r="F609" s="7" t="inlineStr">
        <is>
          <t>601.2f</t>
        </is>
      </c>
      <c r="G609" s="8" t="inlineStr">
        <is>
          <t>墓地の枚数や支配するクリーチャーの数などに応じて唱えるコストが下がる。条件を満たすデッキでは非常に軽くなる。</t>
        </is>
      </c>
      <c r="H609" s="8" t="n"/>
      <c r="I609" s="8" t="inlineStr">
        <is>
          <t>このターン使ったカード1枚ごとにコスト-1のように条件でコストが下がるカード。最大まで軽くなった時の効率でポイントを評価しないと壊れやすい。</t>
        </is>
      </c>
      <c r="J609" s="11" t="inlineStr">
        <is>
          <t>高</t>
        </is>
      </c>
      <c r="K609" s="8" t="inlineStr">
        <is>
          <t>条件判定</t>
        </is>
      </c>
      <c r="L609" s="12" t="inlineStr">
        <is>
          <t>◎</t>
        </is>
      </c>
      <c r="M609" s="13" t="inlineStr">
        <is>
          <t>【今回実装：カードの能力『親和』（このターン使ったカード1枚につき）（`affinity`・バッチC1）】（審査時は○）カード属性『親和』：このターン使ったカード1枚ごとにコスト−1。手札のコストを動的計算する仕組みが要る</t>
        </is>
      </c>
    </row>
    <row r="610" ht="41.5" customHeight="1">
      <c r="A610" s="7" t="n">
        <v>609</v>
      </c>
      <c r="B610" s="8" t="inlineStr">
        <is>
          <t>デザイン手法</t>
        </is>
      </c>
      <c r="C610" s="8" t="inlineStr">
        <is>
          <t>デッキ構築</t>
        </is>
      </c>
      <c r="D610" s="9" t="inlineStr">
        <is>
          <t>ドラフト中に働くカード（通称）</t>
        </is>
      </c>
      <c r="E610" s="10" t="inlineStr">
        <is>
          <t>Draft-matters cards</t>
        </is>
      </c>
      <c r="F610" s="7" t="inlineStr">
        <is>
          <t>905</t>
        </is>
      </c>
      <c r="G610" s="8" t="inlineStr">
        <is>
          <t>ドラフトでピックした時点や公開した時に効果を持つカード。追加でピックする、他人のピックを覗くなどの効果がある。</t>
        </is>
      </c>
      <c r="H610" s="8" t="inlineStr">
        <is>
          <t>コンスピラシー (2014)</t>
        </is>
      </c>
      <c r="I610" s="8" t="inlineStr">
        <is>
          <t>ドラフトモードで、このカードを取ったら次のパックからもう1枚取れるなどの効果を持たせる。ゲーム前の段階に効果を持たせ、ドラフト体験そのものを差別化する。</t>
        </is>
      </c>
      <c r="J610" s="11" t="inlineStr">
        <is>
          <t>中</t>
        </is>
      </c>
      <c r="K610" s="8" t="inlineStr">
        <is>
          <t>ドラフト</t>
        </is>
      </c>
      <c r="L610" s="12" t="inlineStr">
        <is>
          <t>×</t>
        </is>
      </c>
      <c r="M610" s="13" t="inlineStr">
        <is>
          <t>ドラフト前提</t>
        </is>
      </c>
    </row>
    <row r="611" ht="45.5" customHeight="1">
      <c r="A611" s="7" t="n">
        <v>610</v>
      </c>
      <c r="B611" s="8" t="inlineStr">
        <is>
          <t>デザイン手法</t>
        </is>
      </c>
      <c r="C611" s="8" t="inlineStr">
        <is>
          <t>ドロー・手札</t>
        </is>
      </c>
      <c r="D611" s="9" t="inlineStr">
        <is>
          <t>願い（ゲーム外から持ってくる）（通称）</t>
        </is>
      </c>
      <c r="E611" s="10" t="inlineStr">
        <is>
          <t>Wish</t>
        </is>
      </c>
      <c r="F611" s="7" t="inlineStr">
        <is>
          <t>400.11b</t>
        </is>
      </c>
      <c r="G611" s="8" t="inlineStr">
        <is>
          <t>ゲームの外（サイドボードなど）にある自分のカードを手札に加える効果。状況に合った1枚を選べる柔軟さがある。</t>
        </is>
      </c>
      <c r="H611" s="8" t="inlineStr">
        <is>
          <t>アラビアンナイト (1993)</t>
        </is>
      </c>
      <c r="I611" s="8" t="inlineStr">
        <is>
          <t>控えのカード5枚から1枚を手札に加える。デッキ外の控え枠があるとメタ対策を1枚で詰め込める。控え枠にはデッキ予算とは別の小さなポイント枠を設ける。</t>
        </is>
      </c>
      <c r="J611" s="11" t="inlineStr">
        <is>
          <t>中</t>
        </is>
      </c>
      <c r="K611" s="8" t="inlineStr">
        <is>
          <t>控えゾーン</t>
        </is>
      </c>
      <c r="L611" s="12" t="inlineStr">
        <is>
          <t>×</t>
        </is>
      </c>
      <c r="M611" s="13" t="inlineStr">
        <is>
          <t>サイドボード（控えゾーン）が無い</t>
        </is>
      </c>
    </row>
    <row r="612" ht="41.5" customHeight="1">
      <c r="A612" s="7" t="n">
        <v>611</v>
      </c>
      <c r="B612" s="8" t="inlineStr">
        <is>
          <t>デザイン手法</t>
        </is>
      </c>
      <c r="C612" s="8" t="inlineStr">
        <is>
          <t>その他</t>
        </is>
      </c>
      <c r="D612" s="9" t="inlineStr">
        <is>
          <t>サイクル（通称）</t>
        </is>
      </c>
      <c r="E612" s="10" t="inlineStr">
        <is>
          <t>Cycle</t>
        </is>
      </c>
      <c r="F612" s="7" t="n"/>
      <c r="G612" s="8" t="inlineStr">
        <is>
          <t>同じ構造のカードを各色に1枚ずつ（多くは5枚）作るデザインの型。セットに統一感を出し、色ごとの違いを比べやすくする。</t>
        </is>
      </c>
      <c r="H612" s="8" t="inlineStr">
        <is>
          <t>アルファ (1993)</t>
        </is>
      </c>
      <c r="I612" s="8" t="inlineStr">
        <is>
          <t>属性ごとに同じ型のカードを揃えて出すと、ポイント評価の基準カードになる。新属性を追加した時もサイクルで穴を埋めれば、バランス確認が楽になる。</t>
        </is>
      </c>
      <c r="J612" s="11" t="inlineStr">
        <is>
          <t>高</t>
        </is>
      </c>
      <c r="K612" s="8" t="inlineStr">
        <is>
          <t>属性/色</t>
        </is>
      </c>
      <c r="L612" s="12" t="inlineStr">
        <is>
          <t>×</t>
        </is>
      </c>
      <c r="M612" s="13" t="inlineStr">
        <is>
          <t>色・属性が前提のデザイン手法</t>
        </is>
      </c>
    </row>
    <row r="613" ht="41.5" customHeight="1">
      <c r="A613" s="7" t="n">
        <v>612</v>
      </c>
      <c r="B613" s="8" t="inlineStr">
        <is>
          <t>デザイン手法</t>
        </is>
      </c>
      <c r="C613" s="8" t="inlineStr">
        <is>
          <t>条件ボーナス</t>
        </is>
      </c>
      <c r="D613" s="9" t="inlineStr">
        <is>
          <t>部族シナジー（タイプ参照）（通称）</t>
        </is>
      </c>
      <c r="E613" s="10" t="inlineStr">
        <is>
          <t>Tribal / type synergy</t>
        </is>
      </c>
      <c r="F613" s="7" t="n"/>
      <c r="G613" s="8" t="inlineStr">
        <is>
          <t>エルフやゴブリンなどのクリーチャー・タイプを参照して強化やコスト軽減を行う。同じタイプでデッキを組む動機になる。</t>
        </is>
      </c>
      <c r="H613" s="8" t="inlineStr">
        <is>
          <t>アルファ (1993)</t>
        </is>
      </c>
      <c r="I613" s="8" t="inlineStr">
        <is>
          <t>カードに種族タグを付け、獣タグの数だけ強化などの参照効果を作る。タグが増えるほど組み合わせが爆発するので、タグ1個ごとに少額のポイントを付ける。</t>
        </is>
      </c>
      <c r="J613" s="11" t="inlineStr">
        <is>
          <t>高</t>
        </is>
      </c>
      <c r="K613" s="8" t="inlineStr">
        <is>
          <t>タグ</t>
        </is>
      </c>
      <c r="L613" s="12" t="inlineStr">
        <is>
          <t>◎</t>
        </is>
      </c>
      <c r="M613" s="13" t="inlineStr">
        <is>
          <t>【今回実装：種族タグ（#53 と統合）（`tribe`・バッチC2）】（審査時は○）カードに種族タグを付け、条件『同じ種族が自分の場にいる』で参照。タグ欄の追加が要る。倍率0.7</t>
        </is>
      </c>
    </row>
    <row r="614" ht="41.5" customHeight="1">
      <c r="A614" s="7" t="n">
        <v>613</v>
      </c>
      <c r="B614" s="8" t="inlineStr">
        <is>
          <t>デザイン手法</t>
        </is>
      </c>
      <c r="C614" s="8" t="inlineStr">
        <is>
          <t>多人数・交流</t>
        </is>
      </c>
      <c r="D614" s="9" t="inlineStr">
        <is>
          <t>対称効果（通称）</t>
        </is>
      </c>
      <c r="E614" s="10" t="inlineStr">
        <is>
          <t>Symmetrical effect</t>
        </is>
      </c>
      <c r="F614" s="7" t="n"/>
      <c r="G614" s="8" t="inlineStr">
        <is>
          <t>すべてのプレイヤーに同じように働く効果。全員がカードを多く引くなど、構築で自分だけが得をするように偏らせて使う。</t>
        </is>
      </c>
      <c r="H614" s="8" t="inlineStr">
        <is>
          <t>アルファ (1993)</t>
        </is>
      </c>
      <c r="I614" s="8" t="inlineStr">
        <is>
          <t>全員が毎ターン1枚多く引くような共通ルール変更。自分のデッキ側だけが得をする構築が腕の見せ所になる。双方が利益を得るのでポイントは低めにできる。</t>
        </is>
      </c>
      <c r="J614" s="11" t="inlineStr">
        <is>
          <t>高</t>
        </is>
      </c>
      <c r="K614" s="8" t="inlineStr">
        <is>
          <t>なし</t>
        </is>
      </c>
      <c r="L614" s="12" t="inlineStr">
        <is>
          <t>◎</t>
        </is>
      </c>
      <c r="M614" s="13" t="inlineStr">
        <is>
          <t>【今回実装：対象『お互い』（`bothPlayers`・バッチA）】（審査時は○）対象『お互い』：ドロー・回復などを両者に。相手にも利益があるので価格×0.4</t>
        </is>
      </c>
    </row>
    <row r="615" ht="41.5" customHeight="1">
      <c r="A615" s="7" t="n">
        <v>614</v>
      </c>
      <c r="B615" s="8" t="inlineStr">
        <is>
          <t>デザイン手法</t>
        </is>
      </c>
      <c r="C615" s="8" t="inlineStr">
        <is>
          <t>ドロー・手札</t>
        </is>
      </c>
      <c r="D615" s="9" t="inlineStr">
        <is>
          <t>ドロー置換（通称）</t>
        </is>
      </c>
      <c r="E615" s="10" t="inlineStr">
        <is>
          <t>Draw replacement</t>
        </is>
      </c>
      <c r="F615" s="7" t="inlineStr">
        <is>
          <t>614.11</t>
        </is>
      </c>
      <c r="G615" s="8" t="inlineStr">
        <is>
          <t>カードを引く代わりに別の行動（墓地から回収するなど）を行う置換効果。墓地を燃料に変える戦略の土台になる。</t>
        </is>
      </c>
      <c r="H615" s="8" t="n"/>
      <c r="I615" s="8" t="inlineStr">
        <is>
          <t>ドローする代わりに捨て札から1枚回収してもよいとする。ドローの機会を別のリソースに変換でき、山札切れの対策にもなる。置換できる頻度でポイントを調整する。</t>
        </is>
      </c>
      <c r="J615" s="11" t="inlineStr">
        <is>
          <t>中</t>
        </is>
      </c>
      <c r="K615" s="8" t="inlineStr">
        <is>
          <t>ドロー処理</t>
        </is>
      </c>
      <c r="L615" s="12" t="inlineStr">
        <is>
          <t>×</t>
        </is>
      </c>
      <c r="M615" s="13" t="inlineStr">
        <is>
          <t>ドロー処理の置換は重く、既存：回収 で代替できる</t>
        </is>
      </c>
    </row>
    <row r="616" ht="45.5" customHeight="1">
      <c r="A616" s="7" t="n">
        <v>615</v>
      </c>
      <c r="B616" s="8" t="inlineStr">
        <is>
          <t>デザイン手法</t>
        </is>
      </c>
      <c r="C616" s="8" t="inlineStr">
        <is>
          <t>コスト・リソース</t>
        </is>
      </c>
      <c r="D616" s="9" t="inlineStr">
        <is>
          <t>ライフ支払い（通称）</t>
        </is>
      </c>
      <c r="E616" s="10" t="inlineStr">
        <is>
          <t>Paying life</t>
        </is>
      </c>
      <c r="F616" s="7" t="inlineStr">
        <is>
          <t>119.4</t>
        </is>
      </c>
      <c r="G616" s="8" t="inlineStr">
        <is>
          <t>ライフをコストとして支払う。マナを使わずに行動できるが、攻撃的な相手には大きな危険になる。</t>
        </is>
      </c>
      <c r="H616" s="8" t="n"/>
      <c r="I616" s="10" t="inlineStr">
        <is>
          <t>HP2を払ってエネルギー1を得るなど、HPを資源にするとリスク管理が戦略になる。HP1点のポイント価値を決めておけば他の効果にも流用できる。</t>
        </is>
      </c>
      <c r="J616" s="11" t="inlineStr">
        <is>
          <t>高</t>
        </is>
      </c>
      <c r="K616" s="10" t="inlineStr">
        <is>
          <t>HP</t>
        </is>
      </c>
      <c r="L616" s="12" t="inlineStr">
        <is>
          <t>×</t>
        </is>
      </c>
      <c r="M616" s="13" t="inlineStr">
        <is>
          <t>既存：デメリット『自傷』</t>
        </is>
      </c>
    </row>
    <row r="617" ht="45.5" customHeight="1">
      <c r="A617" s="7" t="n">
        <v>616</v>
      </c>
      <c r="B617" s="8" t="inlineStr">
        <is>
          <t>デザイン手法</t>
        </is>
      </c>
      <c r="C617" s="8" t="inlineStr">
        <is>
          <t>妨害</t>
        </is>
      </c>
      <c r="D617" s="9" t="inlineStr">
        <is>
          <t>手札破壊（ハンデス）（通称）</t>
        </is>
      </c>
      <c r="E617" s="10" t="inlineStr">
        <is>
          <t>Discard (hand disruption)</t>
        </is>
      </c>
      <c r="F617" s="7" t="n"/>
      <c r="G617" s="8" t="inlineStr">
        <is>
          <t>相手の手札を見て選んで捨てさせる、または無作為に捨てさせる妨害。相手の選択肢そのものを奪う。</t>
        </is>
      </c>
      <c r="H617" s="8" t="inlineStr">
        <is>
          <t>アルファ (1993)</t>
        </is>
      </c>
      <c r="I617" s="8" t="inlineStr">
        <is>
          <t>相手の手札を見て1枚選んで捨てさせる。選ぶ型は無作為型のおよそ2倍の価値として計算する。手札を公開させる効果自体にも少額のポイントを付けられる。</t>
        </is>
      </c>
      <c r="J617" s="11" t="inlineStr">
        <is>
          <t>高</t>
        </is>
      </c>
      <c r="K617" s="8" t="inlineStr">
        <is>
          <t>相手手札</t>
        </is>
      </c>
      <c r="L617" s="12" t="inlineStr">
        <is>
          <t>×</t>
        </is>
      </c>
      <c r="M617" s="13" t="inlineStr">
        <is>
          <t>相手の手札は自ターン終了時に全部捨てるので無意味。既存：ドロー妨害</t>
        </is>
      </c>
    </row>
    <row r="618" ht="45.5" customHeight="1">
      <c r="A618" s="7" t="n">
        <v>617</v>
      </c>
      <c r="B618" s="8" t="inlineStr">
        <is>
          <t>デザイン手法</t>
        </is>
      </c>
      <c r="C618" s="8" t="inlineStr">
        <is>
          <t>勝利条件</t>
        </is>
      </c>
      <c r="D618" s="9" t="inlineStr">
        <is>
          <t>ライブラリーアウト（通称）</t>
        </is>
      </c>
      <c r="E618" s="10" t="inlineStr">
        <is>
          <t>Mill / decking</t>
        </is>
      </c>
      <c r="F618" s="7" t="inlineStr">
        <is>
          <t>104.3c</t>
        </is>
      </c>
      <c r="G618" s="8" t="inlineStr">
        <is>
          <t>引くべきカードがないと敗北するルールを利用し、相手の山札を削って勝つ戦略。山札を墓地に送る効果を多用する。</t>
        </is>
      </c>
      <c r="H618" s="8" t="inlineStr">
        <is>
          <t>アンティキティー (1994)</t>
        </is>
      </c>
      <c r="I618" s="10" t="inlineStr">
        <is>
          <t>StS型の循環では山札切れが起きにくいので、山札と捨て札の合計が0で敗北、廃棄されたカード数で敗北などに置き換えると別の勝ち筋を作れる。</t>
        </is>
      </c>
      <c r="J618" s="11" t="inlineStr">
        <is>
          <t>中</t>
        </is>
      </c>
      <c r="K618" s="8" t="inlineStr">
        <is>
          <t>山札</t>
        </is>
      </c>
      <c r="L618" s="12" t="inlineStr">
        <is>
          <t>△</t>
        </is>
      </c>
      <c r="M618" s="13" t="inlineStr">
        <is>
          <t>効果『山札削り』：相手の山札の上N枚を除外。山札＋捨て札が0なら敗北に。循環式で効きにくい</t>
        </is>
      </c>
    </row>
    <row r="619" ht="45.5" customHeight="1">
      <c r="A619" s="7" t="n">
        <v>618</v>
      </c>
      <c r="B619" s="8" t="inlineStr">
        <is>
          <t>デザイン手法</t>
        </is>
      </c>
      <c r="C619" s="8" t="inlineStr">
        <is>
          <t>コスト・リソース</t>
        </is>
      </c>
      <c r="D619" s="9" t="inlineStr">
        <is>
          <t>マナ加速（ランプ）（通称）</t>
        </is>
      </c>
      <c r="E619" s="10" t="inlineStr">
        <is>
          <t>Ramp / mana acceleration</t>
        </is>
      </c>
      <c r="F619" s="7" t="n"/>
      <c r="G619" s="8" t="inlineStr">
        <is>
          <t>土地を追加で出したりマナを生むクリーチャーを置いたりして、本来より早く重いカードを使えるようにする戦略。</t>
        </is>
      </c>
      <c r="H619" s="8" t="inlineStr">
        <is>
          <t>アルファ (1993)</t>
        </is>
      </c>
      <c r="I619" s="8" t="inlineStr">
        <is>
          <t>次のターンから最大エネルギー+1のような恒久的な加速。序盤の行動を削って後半に重いカードを使う構図が生まれる。加速は1点でも高価に設定する。</t>
        </is>
      </c>
      <c r="J619" s="11" t="inlineStr">
        <is>
          <t>高</t>
        </is>
      </c>
      <c r="K619" s="8" t="inlineStr">
        <is>
          <t>エネルギー</t>
        </is>
      </c>
      <c r="L619" s="12" t="inlineStr">
        <is>
          <t>◎</t>
        </is>
      </c>
      <c r="M619" s="13" t="inlineStr">
        <is>
          <t>【今回実装：効果『最大エナジー増加』（`ramp`・バッチB）】（審査時は○）次回：最大エナジー増加。暴走しやすく高額。レジェンド限定でシミュレーション必須</t>
        </is>
      </c>
    </row>
    <row r="620" ht="41.5" customHeight="1">
      <c r="A620" s="7" t="n">
        <v>619</v>
      </c>
      <c r="B620" s="8" t="inlineStr">
        <is>
          <t>デザイン手法</t>
        </is>
      </c>
      <c r="C620" s="8" t="inlineStr">
        <is>
          <t>デッキ構築</t>
        </is>
      </c>
      <c r="D620" s="9" t="inlineStr">
        <is>
          <t>カラーパイ（色の役割と哲学）（通称）</t>
        </is>
      </c>
      <c r="E620" s="10" t="inlineStr">
        <is>
          <t>Color pie</t>
        </is>
      </c>
      <c r="F620" s="7" t="n"/>
      <c r="G620" s="10" t="inlineStr">
        <is>
          <t>5色それぞれに得意・不得意な効果と価値観（白は秩序、青は知識、黒は野心、赤は衝動、緑は自然）を割り当てる設計原則。</t>
        </is>
      </c>
      <c r="H620" s="8" t="inlineStr">
        <is>
          <t>アルファ (1993)</t>
        </is>
      </c>
      <c r="I620" s="8" t="inlineStr">
        <is>
          <t>属性ごとに得意な効果は安く、苦手な効果は割高になるポイント係数を設定する。属性の個性を数値で保証でき、全属性が同じ効果を持つ単調化を防げる。</t>
        </is>
      </c>
      <c r="J620" s="11" t="inlineStr">
        <is>
          <t>高</t>
        </is>
      </c>
      <c r="K620" s="8" t="inlineStr">
        <is>
          <t>属性/色</t>
        </is>
      </c>
      <c r="L620" s="12" t="inlineStr">
        <is>
          <t>×</t>
        </is>
      </c>
      <c r="M620" s="13" t="inlineStr">
        <is>
          <t>色・属性が無い</t>
        </is>
      </c>
    </row>
    <row r="621" ht="41.5" customHeight="1">
      <c r="A621" s="7" t="n">
        <v>620</v>
      </c>
      <c r="B621" s="8" t="inlineStr">
        <is>
          <t>デザイン手法</t>
        </is>
      </c>
      <c r="C621" s="8" t="inlineStr">
        <is>
          <t>コスト・リソース</t>
        </is>
      </c>
      <c r="D621" s="9" t="inlineStr">
        <is>
          <t>フリースペル（通称）</t>
        </is>
      </c>
      <c r="E621" s="10" t="inlineStr">
        <is>
          <t>Free spells</t>
        </is>
      </c>
      <c r="F621" s="7" t="n"/>
      <c r="G621" s="8" t="inlineStr">
        <is>
          <t>唱えた後に使った土地をアンタップするなどで、実質0マナで唱えられる呪文群。ウルザ・ブロックで強すぎて問題になった。</t>
        </is>
      </c>
      <c r="H621" s="8" t="inlineStr">
        <is>
          <t>ウルザズ・サーガ (1998)</t>
        </is>
      </c>
      <c r="I621" s="8" t="inlineStr">
        <is>
          <t>使用後にエネルギーを全額返す系は無限連鎖を生みやすい。導入するならデッキ内の枚数制限と、1ターンの使用回数上限を組み合わせる。</t>
        </is>
      </c>
      <c r="J621" s="11" t="inlineStr">
        <is>
          <t>高</t>
        </is>
      </c>
      <c r="K621" s="8" t="inlineStr">
        <is>
          <t>エネルギー</t>
        </is>
      </c>
      <c r="L621" s="12" t="inlineStr">
        <is>
          <t>×</t>
        </is>
      </c>
      <c r="M621" s="13" t="inlineStr">
        <is>
          <t>既存：エナジー・軽減で表現できる</t>
        </is>
      </c>
    </row>
    <row r="622" ht="37.5" customHeight="1">
      <c r="A622" s="7" t="n">
        <v>621</v>
      </c>
      <c r="B622" s="8" t="inlineStr">
        <is>
          <t>デザイン手法</t>
        </is>
      </c>
      <c r="C622" s="8" t="inlineStr">
        <is>
          <t>攻撃</t>
        </is>
      </c>
      <c r="D622" s="9" t="inlineStr">
        <is>
          <t>クロックとテンポ（通称）</t>
        </is>
      </c>
      <c r="E622" s="10" t="inlineStr">
        <is>
          <t>Clock and tempo</t>
        </is>
      </c>
      <c r="F622" s="7" t="n"/>
      <c r="G622" s="8" t="inlineStr">
        <is>
          <t>クロックは相手を倒すまでのターン数、テンポは相手より効率よくマナと手番を使って主導権を握ること。</t>
        </is>
      </c>
      <c r="H622" s="8" t="n"/>
      <c r="I622" s="8" t="inlineStr">
        <is>
          <t>相手を何ターンで倒せるかの目安を画面に出し、ポイント設計でもダメージ効率の基準にする。バウンスなどテンポ系カードの価値も説明しやすくなる。</t>
        </is>
      </c>
      <c r="J622" s="11" t="inlineStr">
        <is>
          <t>高</t>
        </is>
      </c>
      <c r="K622" s="8" t="inlineStr">
        <is>
          <t>なし</t>
        </is>
      </c>
      <c r="L622" s="12" t="inlineStr">
        <is>
          <t>×</t>
        </is>
      </c>
      <c r="M622" s="13" t="inlineStr">
        <is>
          <t>設計の考え方。カード要素ではない</t>
        </is>
      </c>
    </row>
    <row r="623" ht="45.5" customHeight="1">
      <c r="A623" s="7" t="n">
        <v>622</v>
      </c>
      <c r="B623" s="8" t="inlineStr">
        <is>
          <t>デザイン手法</t>
        </is>
      </c>
      <c r="C623" s="8" t="inlineStr">
        <is>
          <t>ドロー・手札</t>
        </is>
      </c>
      <c r="D623" s="9" t="inlineStr">
        <is>
          <t>カード・アドバンテージ（通称）</t>
        </is>
      </c>
      <c r="E623" s="10" t="inlineStr">
        <is>
          <t>Card advantage</t>
        </is>
      </c>
      <c r="F623" s="7" t="n"/>
      <c r="G623" s="10" t="inlineStr">
        <is>
          <t>1枚で相手の複数枚を処理する、追加でカードを引くなどして、手札や盤面の枚数差で優位に立つという考え方。</t>
        </is>
      </c>
      <c r="H623" s="8" t="n"/>
      <c r="I623" s="8" t="inlineStr">
        <is>
          <t>カード1枚が生む枚数的な得をポイント算定の基準にし、1枚で2枚分の仕事をするカードは高額にする。CPUの評価関数にも同じ考えを使える。</t>
        </is>
      </c>
      <c r="J623" s="11" t="inlineStr">
        <is>
          <t>高</t>
        </is>
      </c>
      <c r="K623" s="8" t="inlineStr">
        <is>
          <t>なし</t>
        </is>
      </c>
      <c r="L623" s="12" t="inlineStr">
        <is>
          <t>×</t>
        </is>
      </c>
      <c r="M623" s="13" t="inlineStr">
        <is>
          <t>設計の考え方。カード要素ではない</t>
        </is>
      </c>
    </row>
    <row r="624" ht="37.5" customHeight="1">
      <c r="A624" s="7" t="n">
        <v>623</v>
      </c>
      <c r="B624" s="8" t="inlineStr">
        <is>
          <t>デザイン手法</t>
        </is>
      </c>
      <c r="C624" s="8" t="inlineStr">
        <is>
          <t>その他</t>
        </is>
      </c>
      <c r="D624" s="9" t="inlineStr">
        <is>
          <t>サブゲーム</t>
        </is>
      </c>
      <c r="E624" s="10" t="inlineStr">
        <is>
          <t>Subgame</t>
        </is>
      </c>
      <c r="F624" s="7" t="inlineStr">
        <is>
          <t>729</t>
        </is>
      </c>
      <c r="G624" s="8" t="inlineStr">
        <is>
          <t>ゲームの途中で、ライブラリーをデッキにした別の小さなゲームを始め、その勝敗で元のゲームに影響を与える。</t>
        </is>
      </c>
      <c r="H624" s="8" t="inlineStr">
        <is>
          <t>アラビアンナイト (1993)</t>
        </is>
      </c>
      <c r="I624" s="8" t="inlineStr">
        <is>
          <t>対戦中に短いミニゲームを挟み、勝者が報酬を得る。デジタルなら盤面の保存と復帰が容易で、イベント演出やボス戦のギミックに向く。</t>
        </is>
      </c>
      <c r="J624" s="11" t="inlineStr">
        <is>
          <t>低</t>
        </is>
      </c>
      <c r="K624" s="8" t="inlineStr">
        <is>
          <t>盤面の保存</t>
        </is>
      </c>
      <c r="L624" s="12" t="inlineStr">
        <is>
          <t>×</t>
        </is>
      </c>
      <c r="M624" s="13" t="inlineStr">
        <is>
          <t>サブゲームは実装が重すぎる</t>
        </is>
      </c>
    </row>
    <row r="625" ht="41.5" customHeight="1">
      <c r="A625" s="7" t="n">
        <v>624</v>
      </c>
      <c r="B625" s="8" t="inlineStr">
        <is>
          <t>デザイン手法</t>
        </is>
      </c>
      <c r="C625" s="8" t="inlineStr">
        <is>
          <t>ルール基盤</t>
        </is>
      </c>
      <c r="D625" s="9" t="inlineStr">
        <is>
          <t>バニラ／フレンチバニラ（通称）</t>
        </is>
      </c>
      <c r="E625" s="10" t="inlineStr">
        <is>
          <t>Vanilla / French vanilla</t>
        </is>
      </c>
      <c r="F625" s="7" t="n"/>
      <c r="G625" s="8" t="inlineStr">
        <is>
          <t>能力を持たないクリーチャーをバニラ、キーワード能力だけを持つものをフレンチバニラと呼ぶ。性能の基準線になる。</t>
        </is>
      </c>
      <c r="H625" s="8" t="inlineStr">
        <is>
          <t>アルファ (1993)</t>
        </is>
      </c>
      <c r="I625" s="8" t="inlineStr">
        <is>
          <t>能力なしカードのコスト→ステータス換算表をポイント制の基準線にし、能力を1つ足すごとの価格を決める。初心者用カードとしても役立つ。</t>
        </is>
      </c>
      <c r="J625" s="11" t="inlineStr">
        <is>
          <t>高</t>
        </is>
      </c>
      <c r="K625" s="8" t="inlineStr">
        <is>
          <t>なし</t>
        </is>
      </c>
      <c r="L625" s="12" t="inlineStr">
        <is>
          <t>×</t>
        </is>
      </c>
      <c r="M625" s="13" t="inlineStr">
        <is>
          <t>設計の考え方。ポイント制の基準として既にある</t>
        </is>
      </c>
    </row>
    <row r="626" ht="37.5" customHeight="1">
      <c r="A626" s="7" t="n">
        <v>625</v>
      </c>
      <c r="B626" s="8" t="inlineStr">
        <is>
          <t>デザイン手法</t>
        </is>
      </c>
      <c r="C626" s="8" t="inlineStr">
        <is>
          <t>コスト・リソース</t>
        </is>
      </c>
      <c r="D626" s="9" t="inlineStr">
        <is>
          <t>デメリット能力（通称）</t>
        </is>
      </c>
      <c r="E626" s="10" t="inlineStr">
        <is>
          <t>Drawback</t>
        </is>
      </c>
      <c r="F626" s="7" t="n"/>
      <c r="G626" s="8" t="inlineStr">
        <is>
          <t>毎ターン攻撃しなければならない、維持コストがかかるなどの不利な能力。代わりにコストの割に大きなサイズを持つ。</t>
        </is>
      </c>
      <c r="H626" s="8" t="inlineStr">
        <is>
          <t>アルファ (1993)</t>
        </is>
      </c>
      <c r="I626" s="8" t="inlineStr">
        <is>
          <t>ポイント制にマイナスポイントの能力を設け、盛り込むと予算が増える仕組みにする。極端な組み合わせを防ぐため、マイナスの上限を決めておく。</t>
        </is>
      </c>
      <c r="J626" s="11" t="inlineStr">
        <is>
          <t>高</t>
        </is>
      </c>
      <c r="K626" s="8" t="inlineStr">
        <is>
          <t>なし</t>
        </is>
      </c>
      <c r="L626" s="12" t="inlineStr">
        <is>
          <t>×</t>
        </is>
      </c>
      <c r="M626" s="13" t="inlineStr">
        <is>
          <t>既存：デメリット（呪いカード）</t>
        </is>
      </c>
    </row>
    <row r="627" ht="37.5" customHeight="1">
      <c r="A627" s="7" t="n">
        <v>626</v>
      </c>
      <c r="B627" s="8" t="inlineStr">
        <is>
          <t>デザイン手法</t>
        </is>
      </c>
      <c r="C627" s="8" t="inlineStr">
        <is>
          <t>デッキ構築</t>
        </is>
      </c>
      <c r="D627" s="9" t="inlineStr">
        <is>
          <t>新世界秩序（New World Order）（通称）</t>
        </is>
      </c>
      <c r="E627" s="10" t="inlineStr">
        <is>
          <t>New World Order</t>
        </is>
      </c>
      <c r="F627" s="7" t="n"/>
      <c r="G627" s="8" t="inlineStr">
        <is>
          <t>コモンには複雑なカードを少なくし、盤面の複雑さを抑える開発方針。複雑な効果はアンコモン以上に寄せる。</t>
        </is>
      </c>
      <c r="H627" s="8" t="n"/>
      <c r="I627" s="8" t="inlineStr">
        <is>
          <t>レアリティごとに許される複雑さポイントの上限を設ける。コモンは単純な効果だけにし、レアほど複雑な効果を盛れるルールにする。</t>
        </is>
      </c>
      <c r="J627" s="11" t="inlineStr">
        <is>
          <t>高</t>
        </is>
      </c>
      <c r="K627" s="8" t="inlineStr">
        <is>
          <t>レアリティ</t>
        </is>
      </c>
      <c r="L627" s="12" t="inlineStr">
        <is>
          <t>×</t>
        </is>
      </c>
      <c r="M627" s="13" t="inlineStr">
        <is>
          <t>既存：レアリティごとの効果数上限</t>
        </is>
      </c>
    </row>
    <row r="628" ht="37.5" customHeight="1">
      <c r="A628" s="7" t="n">
        <v>627</v>
      </c>
      <c r="B628" s="8" t="inlineStr">
        <is>
          <t>デザイン手法</t>
        </is>
      </c>
      <c r="C628" s="8" t="inlineStr">
        <is>
          <t>その他</t>
        </is>
      </c>
      <c r="D628" s="9" t="inlineStr">
        <is>
          <t>寄生的メカニズム（通称）</t>
        </is>
      </c>
      <c r="E628" s="10" t="inlineStr">
        <is>
          <t>Parasitic mechanic</t>
        </is>
      </c>
      <c r="F628" s="7" t="n"/>
      <c r="G628" s="8" t="inlineStr">
        <is>
          <t>同じメカニズムを持つカード同士でしか機能しない仕組み。セット内では濃い相乗効果を生むが、外では使いにくい。</t>
        </is>
      </c>
      <c r="H628" s="8" t="n"/>
      <c r="I628" s="8" t="inlineStr">
        <is>
          <t>新しい効果を作るとき、既存カードとも噛み合うかを確かめる指標にする。寄生的な効果はポイントを割り引くか、関連カードを同時に複数用意する。</t>
        </is>
      </c>
      <c r="J628" s="11" t="inlineStr">
        <is>
          <t>高</t>
        </is>
      </c>
      <c r="K628" s="8" t="inlineStr">
        <is>
          <t>なし</t>
        </is>
      </c>
      <c r="L628" s="12" t="inlineStr">
        <is>
          <t>×</t>
        </is>
      </c>
      <c r="M628" s="13" t="inlineStr">
        <is>
          <t>設計の考え方</t>
        </is>
      </c>
    </row>
    <row r="629" ht="37.5" customHeight="1">
      <c r="A629" s="7" t="n">
        <v>628</v>
      </c>
      <c r="B629" s="8" t="inlineStr">
        <is>
          <t>デザイン手法</t>
        </is>
      </c>
      <c r="C629" s="8" t="inlineStr">
        <is>
          <t>その他</t>
        </is>
      </c>
      <c r="D629" s="9" t="inlineStr">
        <is>
          <t>サイコグラフィック（通称）</t>
        </is>
      </c>
      <c r="E629" s="10" t="inlineStr">
        <is>
          <t>Psychographic profiles (Timmy/Johnny/Spike)</t>
        </is>
      </c>
      <c r="F629" s="7" t="n"/>
      <c r="G629" s="8" t="inlineStr">
        <is>
          <t>派手さを好む者、独創的なコンボを好む者、勝利を重視する者というプレイヤー像の分類。カードを誰に向けるか考える指針。</t>
        </is>
      </c>
      <c r="H629" s="8" t="n"/>
      <c r="I629" s="8" t="inlineStr">
        <is>
          <t>新カードを派手、コンボ、勝ちのどれ向けかでタグ付けし、各層にカードが偏りなく届いているか確認する。ユーザー自作カードの分類表示にも使える。</t>
        </is>
      </c>
      <c r="J629" s="11" t="inlineStr">
        <is>
          <t>高</t>
        </is>
      </c>
      <c r="K629" s="8" t="inlineStr">
        <is>
          <t>なし</t>
        </is>
      </c>
      <c r="L629" s="12" t="inlineStr">
        <is>
          <t>×</t>
        </is>
      </c>
      <c r="M629" s="13" t="inlineStr">
        <is>
          <t>設計の考え方</t>
        </is>
      </c>
    </row>
    <row r="630" ht="41.5" customHeight="1">
      <c r="A630" s="7" t="n">
        <v>629</v>
      </c>
      <c r="B630" s="8" t="inlineStr">
        <is>
          <t>デザイン手法</t>
        </is>
      </c>
      <c r="C630" s="8" t="inlineStr">
        <is>
          <t>デッキ構築</t>
        </is>
      </c>
      <c r="D630" s="9" t="inlineStr">
        <is>
          <t>マナカーブ（通称）</t>
        </is>
      </c>
      <c r="E630" s="10" t="inlineStr">
        <is>
          <t>Mana curve</t>
        </is>
      </c>
      <c r="F630" s="7" t="n"/>
      <c r="G630" s="8" t="inlineStr">
        <is>
          <t>デッキ内のカードをマナ総量ごとに並べた分布。毎ターン無駄なくマナを使えるか、マナ事故が起きにくいかを左右する。</t>
        </is>
      </c>
      <c r="H630" s="8" t="n"/>
      <c r="I630" s="8" t="inlineStr">
        <is>
          <t>デッキ編集画面でコスト分布グラフを表示し、エネルギー事故の目安を示す。CPUのデッキ自動生成でもカーブの目標値を使うと自然なデッキになる。</t>
        </is>
      </c>
      <c r="J630" s="11" t="inlineStr">
        <is>
          <t>高</t>
        </is>
      </c>
      <c r="K630" s="8" t="inlineStr">
        <is>
          <t>エネルギー</t>
        </is>
      </c>
      <c r="L630" s="12" t="inlineStr">
        <is>
          <t>△</t>
        </is>
      </c>
      <c r="M630" s="13" t="inlineStr">
        <is>
          <t>ゲーム要素ではなくUI：デッキ画面にコスト分布グラフを出す</t>
        </is>
      </c>
    </row>
    <row r="631" ht="45.5" customHeight="1">
      <c r="A631" s="7" t="n">
        <v>630</v>
      </c>
      <c r="B631" s="8" t="inlineStr">
        <is>
          <t>デザイン手法</t>
        </is>
      </c>
      <c r="C631" s="8" t="inlineStr">
        <is>
          <t>ドロー・手札</t>
        </is>
      </c>
      <c r="D631" s="9" t="inlineStr">
        <is>
          <t>キャントリップ（通称）</t>
        </is>
      </c>
      <c r="E631" s="10" t="inlineStr">
        <is>
          <t>Cantrip</t>
        </is>
      </c>
      <c r="F631" s="7" t="n"/>
      <c r="G631" s="8" t="inlineStr">
        <is>
          <t>効果に加えてカードを1枚引く小さな呪文。手札の枚数を減らさず、デッキを圧縮したように働く。</t>
        </is>
      </c>
      <c r="H631" s="8" t="n"/>
      <c r="I631" s="8" t="inlineStr">
        <is>
          <t>効果＋1ドローの軽いカード。手札を減らさないので連鎖の起点になる。ドロー1枚のポイント価値を固定値として明確にしておく。</t>
        </is>
      </c>
      <c r="J631" s="11" t="inlineStr">
        <is>
          <t>高</t>
        </is>
      </c>
      <c r="K631" s="8" t="inlineStr">
        <is>
          <t>ドロー</t>
        </is>
      </c>
      <c r="L631" s="12" t="inlineStr">
        <is>
          <t>×</t>
        </is>
      </c>
      <c r="M631" s="13" t="inlineStr">
        <is>
          <t>既存：効果『ドロー』を他の効果に添える</t>
        </is>
      </c>
    </row>
    <row r="632" ht="37.5" customHeight="1">
      <c r="A632" s="7" t="n">
        <v>631</v>
      </c>
      <c r="B632" s="8" t="inlineStr">
        <is>
          <t>デザイン手法</t>
        </is>
      </c>
      <c r="C632" s="8" t="inlineStr">
        <is>
          <t>ドロー・手札</t>
        </is>
      </c>
      <c r="D632" s="9" t="inlineStr">
        <is>
          <t>ルーティング（通称）</t>
        </is>
      </c>
      <c r="E632" s="10" t="inlineStr">
        <is>
          <t>Looting / rummaging</t>
        </is>
      </c>
      <c r="F632" s="7" t="n"/>
      <c r="G632" s="8" t="inlineStr">
        <is>
          <t>カードを引いてから捨てる、または捨ててから引くことで手札の質を上げる効果。墓地を使う戦略の燃料にもなる。</t>
        </is>
      </c>
      <c r="H632" s="8" t="n"/>
      <c r="I632" s="10" t="inlineStr">
        <is>
          <t>2枚引いて1枚捨てるで手札を整える。捨て札に送ること自体が利益になるカードと組み合わせると、捨て札シナジーの軸になる。</t>
        </is>
      </c>
      <c r="J632" s="11" t="inlineStr">
        <is>
          <t>高</t>
        </is>
      </c>
      <c r="K632" s="8" t="inlineStr">
        <is>
          <t>捨て札ゾーン</t>
        </is>
      </c>
      <c r="L632" s="12" t="inlineStr">
        <is>
          <t>◎</t>
        </is>
      </c>
      <c r="M632" s="13" t="inlineStr">
        <is>
          <t>【今回実装：手札整理】今回実装 効果『手札整理』loot に統合（#454）</t>
        </is>
      </c>
    </row>
    <row r="633" ht="41.5" customHeight="1">
      <c r="A633" s="7" t="n">
        <v>632</v>
      </c>
      <c r="B633" s="8" t="inlineStr">
        <is>
          <t>デザイン手法</t>
        </is>
      </c>
      <c r="C633" s="8" t="inlineStr">
        <is>
          <t>山札操作</t>
        </is>
      </c>
      <c r="D633" s="9" t="inlineStr">
        <is>
          <t>チューター（サーチ）（通称）</t>
        </is>
      </c>
      <c r="E633" s="10" t="inlineStr">
        <is>
          <t>Tutor</t>
        </is>
      </c>
      <c r="F633" s="7" t="inlineStr">
        <is>
          <t>701.23</t>
        </is>
      </c>
      <c r="G633" s="8" t="inlineStr">
        <is>
          <t>ライブラリーから好きなカードを探して手札などに加える。コンボの再現性を高めるため、強力なものはコストが重い。</t>
        </is>
      </c>
      <c r="H633" s="8" t="inlineStr">
        <is>
          <t>アルファ (1993)</t>
        </is>
      </c>
      <c r="I633" s="8" t="inlineStr">
        <is>
          <t>山札から好きなカード1枚を手札に加える。デッキの安定性を大きく上げるので高額にし、無作為に選ぶ抽出との価格差を明確にする。</t>
        </is>
      </c>
      <c r="J633" s="11" t="inlineStr">
        <is>
          <t>高</t>
        </is>
      </c>
      <c r="K633" s="8" t="inlineStr">
        <is>
          <t>山札</t>
        </is>
      </c>
      <c r="L633" s="12" t="inlineStr">
        <is>
          <t>×</t>
        </is>
      </c>
      <c r="M633" s="13" t="inlineStr">
        <is>
          <t>既存：サーチ</t>
        </is>
      </c>
    </row>
    <row r="634" ht="37.5" customHeight="1">
      <c r="A634" s="7" t="n">
        <v>633</v>
      </c>
      <c r="B634" s="8" t="inlineStr">
        <is>
          <t>デザイン手法</t>
        </is>
      </c>
      <c r="C634" s="8" t="inlineStr">
        <is>
          <t>除去</t>
        </is>
      </c>
      <c r="D634" s="9" t="inlineStr">
        <is>
          <t>全体除去（リセット）（通称）</t>
        </is>
      </c>
      <c r="E634" s="10" t="inlineStr">
        <is>
          <t>Board wipe</t>
        </is>
      </c>
      <c r="F634" s="7" t="n"/>
      <c r="G634" s="8" t="inlineStr">
        <is>
          <t>戦場のクリーチャーをすべて破壊するなど、盤面をまとめて一掃する呪文。並べる戦略への強力な対抗手段。</t>
        </is>
      </c>
      <c r="H634" s="8" t="inlineStr">
        <is>
          <t>アルファ (1993)</t>
        </is>
      </c>
      <c r="I634" s="8" t="inlineStr">
        <is>
          <t>場の全ユニットを破壊する。横並び対策に必要だが自分の場も消える対称性で調整する。ポイントは相手側の平均的な盤面価値から見積もる。</t>
        </is>
      </c>
      <c r="J634" s="11" t="inlineStr">
        <is>
          <t>高</t>
        </is>
      </c>
      <c r="K634" s="8" t="inlineStr">
        <is>
          <t>場</t>
        </is>
      </c>
      <c r="L634" s="12" t="inlineStr">
        <is>
          <t>×</t>
        </is>
      </c>
      <c r="M634" s="13" t="inlineStr">
        <is>
          <t>既存：全体破壊</t>
        </is>
      </c>
    </row>
    <row r="635" ht="41.5" customHeight="1">
      <c r="A635" s="7" t="n">
        <v>634</v>
      </c>
      <c r="B635" s="8" t="inlineStr">
        <is>
          <t>デザイン手法</t>
        </is>
      </c>
      <c r="C635" s="8" t="inlineStr">
        <is>
          <t>攻撃</t>
        </is>
      </c>
      <c r="D635" s="9" t="inlineStr">
        <is>
          <t>火力（バーン）（通称）</t>
        </is>
      </c>
      <c r="E635" s="10" t="inlineStr">
        <is>
          <t>Burn</t>
        </is>
      </c>
      <c r="F635" s="7" t="n"/>
      <c r="G635" s="8" t="inlineStr">
        <is>
          <t>クリーチャーにもプレイヤーにもダメージを与えられる直接ダメージ呪文。除去と本体へのとどめを兼ねる。</t>
        </is>
      </c>
      <c r="H635" s="8" t="inlineStr">
        <is>
          <t>アルファ (1993)</t>
        </is>
      </c>
      <c r="I635" s="8" t="inlineStr">
        <is>
          <t>ユニットか本体に3ダメージを選べる攻撃カード。本体直撃はブロック値を無視して届くので、ユニット専用のものより割高に設定する。</t>
        </is>
      </c>
      <c r="J635" s="11" t="inlineStr">
        <is>
          <t>高</t>
        </is>
      </c>
      <c r="K635" s="8" t="inlineStr">
        <is>
          <t>なし</t>
        </is>
      </c>
      <c r="L635" s="12" t="inlineStr">
        <is>
          <t>×</t>
        </is>
      </c>
      <c r="M635" s="13" t="inlineStr">
        <is>
          <t>既存：ダメージ（モンスターにもプレイヤーにも）</t>
        </is>
      </c>
    </row>
    <row r="636" ht="41.5" customHeight="1">
      <c r="A636" s="7" t="n">
        <v>635</v>
      </c>
      <c r="B636" s="8" t="inlineStr">
        <is>
          <t>デザイン手法</t>
        </is>
      </c>
      <c r="C636" s="8" t="inlineStr">
        <is>
          <t>展開・トークン</t>
        </is>
      </c>
      <c r="D636" s="9" t="inlineStr">
        <is>
          <t>クローン（コピー）（通称）</t>
        </is>
      </c>
      <c r="E636" s="10" t="inlineStr">
        <is>
          <t>Clone</t>
        </is>
      </c>
      <c r="F636" s="7" t="inlineStr">
        <is>
          <t>707</t>
        </is>
      </c>
      <c r="G636" s="8" t="inlineStr">
        <is>
          <t>戦場の他のクリーチャーのコピーとして戦場に出る。相手の最強カードを写し取れるので、状況に左右されにくい。</t>
        </is>
      </c>
      <c r="H636" s="8" t="inlineStr">
        <is>
          <t>アルファ (1993)</t>
        </is>
      </c>
      <c r="I636" s="8" t="inlineStr">
        <is>
          <t>場のユニット1体の複製になる。相手の高ポイントカードも利用できるため価値は環境しだい。永久強化を引き継ぐかどうかなど複製の範囲を決めておく。</t>
        </is>
      </c>
      <c r="J636" s="11" t="inlineStr">
        <is>
          <t>中</t>
        </is>
      </c>
      <c r="K636" s="8" t="inlineStr">
        <is>
          <t>能力の複製</t>
        </is>
      </c>
      <c r="L636" s="12" t="inlineStr">
        <is>
          <t>◎</t>
        </is>
      </c>
      <c r="M636" s="13" t="inlineStr">
        <is>
          <t>【今回実装：効果『複写召喚』（`cloneToken`・バッチB）】（審査時は○）効果『複写召喚』：場のモンスター1体のコピー（トークン）を自分の場に出す。トークン前提。約40pt</t>
        </is>
      </c>
    </row>
    <row r="637" ht="37.5" customHeight="1">
      <c r="A637" s="7" t="n">
        <v>636</v>
      </c>
      <c r="B637" s="8" t="inlineStr">
        <is>
          <t>デザイン手法</t>
        </is>
      </c>
      <c r="C637" s="8" t="inlineStr">
        <is>
          <t>妨害</t>
        </is>
      </c>
      <c r="D637" s="9" t="inlineStr">
        <is>
          <t>コントロール奪取（通称）</t>
        </is>
      </c>
      <c r="E637" s="10" t="inlineStr">
        <is>
          <t>Control steal</t>
        </is>
      </c>
      <c r="F637" s="7" t="n"/>
      <c r="G637" s="8" t="inlineStr">
        <is>
          <t>相手のパーマネントのコントロールを得る。除去と自軍強化を同時に行うため非常に強力で、青の伝統的な効果。</t>
        </is>
      </c>
      <c r="H637" s="8" t="inlineStr">
        <is>
          <t>アルファ (1993)</t>
        </is>
      </c>
      <c r="I637" s="8" t="inlineStr">
        <is>
          <t>相手ユニットを2ターン借りるなど期限付きにすると強すぎず、オンラインでの不満も減る。借りる期間をポイント項目にする。</t>
        </is>
      </c>
      <c r="J637" s="11" t="inlineStr">
        <is>
          <t>中</t>
        </is>
      </c>
      <c r="K637" s="8" t="inlineStr">
        <is>
          <t>所有と操作の分離</t>
        </is>
      </c>
      <c r="L637" s="12" t="inlineStr">
        <is>
          <t>◎</t>
        </is>
      </c>
      <c r="M637" s="13" t="inlineStr">
        <is>
          <t>【今回実装：効果『借用』（#127 と統合）（`borrow`・バッチB）】（審査時は○）効果『借用』：相手モンスター1体をNターン自分の場に移し、期限で戻す。既存の奪取の期限付き版</t>
        </is>
      </c>
    </row>
    <row r="638" ht="45.5" customHeight="1">
      <c r="A638" s="7" t="n">
        <v>637</v>
      </c>
      <c r="B638" s="8" t="inlineStr">
        <is>
          <t>デザイン手法</t>
        </is>
      </c>
      <c r="C638" s="8" t="inlineStr">
        <is>
          <t>妨害</t>
        </is>
      </c>
      <c r="D638" s="9" t="inlineStr">
        <is>
          <t>税効果（ヘイトベアー）（通称）</t>
        </is>
      </c>
      <c r="E638" s="10" t="inlineStr">
        <is>
          <t>Tax effects / hatebears</t>
        </is>
      </c>
      <c r="F638" s="7" t="n"/>
      <c r="G638" s="8" t="inlineStr">
        <is>
          <t>相手の呪文や能力のコストを増やす、特定の行動を禁じるなどの常在効果を持つ軽いクリーチャー。相手の動きを鈍らせる。</t>
        </is>
      </c>
      <c r="H638" s="8" t="n"/>
      <c r="I638" s="8" t="inlineStr">
        <is>
          <t>相手の手札の呪文コスト+1を持つ設置物。直接ダメージは与えないが相手の勝ち筋を細らせる。効果の強さを相手の1ターン当たりの損失で数値化する。</t>
        </is>
      </c>
      <c r="J638" s="11" t="inlineStr">
        <is>
          <t>高</t>
        </is>
      </c>
      <c r="K638" s="8" t="inlineStr">
        <is>
          <t>常在効果</t>
        </is>
      </c>
      <c r="L638" s="12" t="inlineStr">
        <is>
          <t>×</t>
        </is>
      </c>
      <c r="M638" s="13" t="inlineStr">
        <is>
          <t>既存：エナジー妨害・凍結（コスト+1）とほぼ同じ</t>
        </is>
      </c>
    </row>
    <row r="639" ht="45.5" customHeight="1">
      <c r="A639" s="7" t="n">
        <v>638</v>
      </c>
      <c r="B639" s="8" t="inlineStr">
        <is>
          <t>デザイン手法</t>
        </is>
      </c>
      <c r="C639" s="8" t="inlineStr">
        <is>
          <t>コスト・リソース</t>
        </is>
      </c>
      <c r="D639" s="9" t="inlineStr">
        <is>
          <t>マナ・シンク（通称）</t>
        </is>
      </c>
      <c r="E639" s="10" t="inlineStr">
        <is>
          <t>Mana sink</t>
        </is>
      </c>
      <c r="F639" s="7" t="n"/>
      <c r="G639" s="8" t="inlineStr">
        <is>
          <t>余ったマナを繰り返し注ぎ込める起動型能力。マナが余りがちな終盤でもカードが腐らない。</t>
        </is>
      </c>
      <c r="H639" s="8" t="n"/>
      <c r="I639" s="8" t="inlineStr">
        <is>
          <t>エネルギー2で防御+3のような何度でも使える起動能力で、余ったエネルギーの使い道を作る。1ターンの回数上限を付けて無限化を防ぐ。</t>
        </is>
      </c>
      <c r="J639" s="11" t="inlineStr">
        <is>
          <t>高</t>
        </is>
      </c>
      <c r="K639" s="8" t="inlineStr">
        <is>
          <t>起動能力</t>
        </is>
      </c>
      <c r="L639" s="12" t="inlineStr">
        <is>
          <t>◎</t>
        </is>
      </c>
      <c r="M639" s="13" t="inlineStr">
        <is>
          <t>【今回実装：起動型能力（1ターン1回のエナジー払い＝マナ・シンク）（`activated`・バッチC1）】（審査時は○）タイミング『起動』：エナジーNを払って効果（1ターン1回）。モンスター・パワーに。UIと起動行動が要る</t>
        </is>
      </c>
    </row>
    <row r="640" ht="37.5" customHeight="1">
      <c r="A640" s="7" t="n">
        <v>639</v>
      </c>
      <c r="B640" s="8" t="inlineStr">
        <is>
          <t>デザイン手法</t>
        </is>
      </c>
      <c r="C640" s="8" t="inlineStr">
        <is>
          <t>その他</t>
        </is>
      </c>
      <c r="D640" s="9" t="inlineStr">
        <is>
          <t>コイン投げ・ダイス</t>
        </is>
      </c>
      <c r="E640" s="10" t="inlineStr">
        <is>
          <t>Coin flip / die roll</t>
        </is>
      </c>
      <c r="F640" s="7" t="inlineStr">
        <is>
          <t>705</t>
        </is>
      </c>
      <c r="G640" s="8" t="inlineStr">
        <is>
          <t>硬貨を投げて表裏を当てたり、ダイスの出目で効果が変わったりするカード。意図的に運の要素を加える。</t>
        </is>
      </c>
      <c r="H640" s="8" t="n"/>
      <c r="I640" s="8" t="inlineStr">
        <is>
          <t>デジタルなら乱数の演出が簡単。期待値でポイントを算定し、ばらつきの大きい効果は少し安くする。競技モードでは乱数カードを制限する選択肢も用意する。</t>
        </is>
      </c>
      <c r="J640" s="11" t="inlineStr">
        <is>
          <t>高</t>
        </is>
      </c>
      <c r="K640" s="8" t="inlineStr">
        <is>
          <t>乱数</t>
        </is>
      </c>
      <c r="L640" s="12" t="inlineStr">
        <is>
          <t>◎</t>
        </is>
      </c>
      <c r="M640" s="13" t="inlineStr">
        <is>
          <t>【今回実装：コイン投げで表（50%）】今回実装 条件 coinFlip に統合（#131）</t>
        </is>
      </c>
    </row>
    <row r="641" ht="41.5" customHeight="1">
      <c r="A641" s="7" t="n">
        <v>640</v>
      </c>
      <c r="B641" s="8" t="inlineStr">
        <is>
          <t>デザイン手法</t>
        </is>
      </c>
      <c r="C641" s="8" t="inlineStr">
        <is>
          <t>ルール基盤</t>
        </is>
      </c>
      <c r="D641" s="9" t="inlineStr">
        <is>
          <t>先攻1ターン目のドロー省略（通称）</t>
        </is>
      </c>
      <c r="E641" s="10" t="inlineStr">
        <is>
          <t>Starting player skips first draw</t>
        </is>
      </c>
      <c r="F641" s="7" t="inlineStr">
        <is>
          <t>103.8a</t>
        </is>
      </c>
      <c r="G641" s="10" t="inlineStr">
        <is>
          <t>2人対戦では先攻プレイヤーは最初のドロー・ステップを飛ばす。先手の有利をカード1枚分で相殺する。</t>
        </is>
      </c>
      <c r="H641" s="8" t="n"/>
      <c r="I641" s="8" t="inlineStr">
        <is>
          <t>先攻は初回ドロー無し、後攻は初期エネルギー+1などで先手有利を補正する。勝率データを見ながら補正量を調整できるのはオンラインの強み。</t>
        </is>
      </c>
      <c r="J641" s="11" t="inlineStr">
        <is>
          <t>高</t>
        </is>
      </c>
      <c r="K641" s="8" t="inlineStr">
        <is>
          <t>先攻/後攻判定</t>
        </is>
      </c>
      <c r="L641" s="12" t="inlineStr">
        <is>
          <t>×</t>
        </is>
      </c>
      <c r="M641" s="13" t="inlineStr">
        <is>
          <t>カード要素ではなくルール調整。先攻後攻補正はシミュレーション次第で別途</t>
        </is>
      </c>
    </row>
    <row r="642" ht="37.5" customHeight="1">
      <c r="A642" s="7" t="n">
        <v>641</v>
      </c>
      <c r="B642" s="8" t="inlineStr">
        <is>
          <t>デザイン手法</t>
        </is>
      </c>
      <c r="C642" s="8" t="inlineStr">
        <is>
          <t>ルール基盤</t>
        </is>
      </c>
      <c r="D642" s="9" t="inlineStr">
        <is>
          <t>スタックと優先権</t>
        </is>
      </c>
      <c r="E642" s="10" t="inlineStr">
        <is>
          <t>Stack and priority</t>
        </is>
      </c>
      <c r="F642" s="7" t="inlineStr">
        <is>
          <t>405</t>
        </is>
      </c>
      <c r="G642" s="8" t="inlineStr">
        <is>
          <t>呪文や能力はスタックに積まれ、後から積まれたものから解決する。両者が優先権をパスすると解決し、その前に相手は割り込める。</t>
        </is>
      </c>
      <c r="H642" s="8" t="n"/>
      <c r="I642" s="8" t="inlineStr">
        <is>
          <t>対応カードを導入するなら割り込み可能な時間をタイマーで区切る。全面導入は重いので、まずは条件を満たすと自動で発動する罠カード程度に限定するのが現実的。</t>
        </is>
      </c>
      <c r="J642" s="11" t="inlineStr">
        <is>
          <t>低</t>
        </is>
      </c>
      <c r="K642" s="8" t="inlineStr">
        <is>
          <t>割り込み処理</t>
        </is>
      </c>
      <c r="L642" s="12" t="inlineStr">
        <is>
          <t>×</t>
        </is>
      </c>
      <c r="M642" s="13" t="inlineStr">
        <is>
          <t>スタック・割り込みが無い</t>
        </is>
      </c>
    </row>
  </sheetData>
  <autoFilter ref="A1:M642"/>
  <conditionalFormatting sqref="J2:J642">
    <cfRule type="cellIs" priority="2" operator="equal" dxfId="2">
      <formula>"高"</formula>
    </cfRule>
    <cfRule type="cellIs" priority="3" operator="equal" dxfId="1">
      <formula>"中"</formula>
    </cfRule>
    <cfRule type="cellIs" priority="4" operator="equal" dxfId="0">
      <formula>"低"</formula>
    </cfRule>
  </conditionalFormatting>
  <dataValidations count="1">
    <dataValidation sqref="L2:L642" showDropDown="0" showInputMessage="0" showErrorMessage="0" allowBlank="1" errorTitle="入力エラー" error="◎ ○ △ × から選んでください" type="list">
      <formula1>"◎,○,△,×"</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J42"/>
  <sheetViews>
    <sheetView zoomScaleNormal="100" workbookViewId="0">
      <selection activeCell="A1" sqref="A1"/>
    </sheetView>
  </sheetViews>
  <sheetFormatPr baseColWidth="8" defaultColWidth="8.6328125" defaultRowHeight="14.5"/>
  <cols>
    <col width="22" customWidth="1" min="1" max="1"/>
    <col width="12" customWidth="1" min="2" max="10"/>
  </cols>
  <sheetData>
    <row r="1" ht="22.5" customHeight="1">
      <c r="A1" s="15" t="inlineStr">
        <is>
          <t>大分類 × 導入しやすさ</t>
        </is>
      </c>
    </row>
    <row r="3" ht="26" customHeight="1">
      <c r="A3" s="6" t="inlineStr">
        <is>
          <t>大分類</t>
        </is>
      </c>
      <c r="B3" s="6" t="inlineStr">
        <is>
          <t>件数</t>
        </is>
      </c>
      <c r="C3" s="6" t="inlineStr">
        <is>
          <t>導入しやすさ 高</t>
        </is>
      </c>
      <c r="D3" s="6" t="inlineStr">
        <is>
          <t>中</t>
        </is>
      </c>
      <c r="E3" s="6" t="inlineStr">
        <is>
          <t>低</t>
        </is>
      </c>
      <c r="F3" s="6" t="inlineStr">
        <is>
          <t>採用検討 ◎</t>
        </is>
      </c>
      <c r="G3" s="5" t="inlineStr">
        <is>
          <t>○</t>
        </is>
      </c>
      <c r="H3" s="5" t="inlineStr">
        <is>
          <t>△</t>
        </is>
      </c>
      <c r="I3" s="5" t="inlineStr">
        <is>
          <t>×</t>
        </is>
      </c>
      <c r="J3" s="6" t="inlineStr">
        <is>
          <t>未検討</t>
        </is>
      </c>
    </row>
    <row r="4" ht="16.5" customHeight="1">
      <c r="A4" s="16" t="inlineStr">
        <is>
          <t>カードタイプ</t>
        </is>
      </c>
      <c r="B4" s="17">
        <f>COUNTIF(全要素一覧!$B$2:$B$642,A4)</f>
        <v/>
      </c>
      <c r="C4" s="17">
        <f>COUNTIFS(全要素一覧!$B$2:$B$642,$A4,全要素一覧!$J$2:$J$642,"高")</f>
        <v/>
      </c>
      <c r="D4" s="17">
        <f>COUNTIFS(全要素一覧!$B$2:$B$642,$A4,全要素一覧!$J$2:$J$642,"中")</f>
        <v/>
      </c>
      <c r="E4" s="17">
        <f>COUNTIFS(全要素一覧!$B$2:$B$642,$A4,全要素一覧!$J$2:$J$642,"低")</f>
        <v/>
      </c>
      <c r="F4" s="17">
        <f>COUNTIFS(全要素一覧!$B$2:$B$642,$A4,全要素一覧!$L$2:$L$642,"◎")</f>
        <v/>
      </c>
      <c r="G4" s="17">
        <f>COUNTIFS(全要素一覧!$B$2:$B$642,$A4,全要素一覧!$L$2:$L$642,"○")</f>
        <v/>
      </c>
      <c r="H4" s="17">
        <f>COUNTIFS(全要素一覧!$B$2:$B$642,$A4,全要素一覧!$L$2:$L$642,"△")</f>
        <v/>
      </c>
      <c r="I4" s="17">
        <f>COUNTIFS(全要素一覧!$B$2:$B$642,$A4,全要素一覧!$L$2:$L$642,"×")</f>
        <v/>
      </c>
      <c r="J4" s="17">
        <f>B4-SUM(F4:I4)</f>
        <v/>
      </c>
    </row>
    <row r="5" ht="16.5" customHeight="1">
      <c r="A5" s="16" t="inlineStr">
        <is>
          <t>特殊タイプ</t>
        </is>
      </c>
      <c r="B5" s="17">
        <f>COUNTIF(全要素一覧!$B$2:$B$642,A5)</f>
        <v/>
      </c>
      <c r="C5" s="17">
        <f>COUNTIFS(全要素一覧!$B$2:$B$642,$A5,全要素一覧!$J$2:$J$642,"高")</f>
        <v/>
      </c>
      <c r="D5" s="17">
        <f>COUNTIFS(全要素一覧!$B$2:$B$642,$A5,全要素一覧!$J$2:$J$642,"中")</f>
        <v/>
      </c>
      <c r="E5" s="17">
        <f>COUNTIFS(全要素一覧!$B$2:$B$642,$A5,全要素一覧!$J$2:$J$642,"低")</f>
        <v/>
      </c>
      <c r="F5" s="17">
        <f>COUNTIFS(全要素一覧!$B$2:$B$642,$A5,全要素一覧!$L$2:$L$642,"◎")</f>
        <v/>
      </c>
      <c r="G5" s="17">
        <f>COUNTIFS(全要素一覧!$B$2:$B$642,$A5,全要素一覧!$L$2:$L$642,"○")</f>
        <v/>
      </c>
      <c r="H5" s="17">
        <f>COUNTIFS(全要素一覧!$B$2:$B$642,$A5,全要素一覧!$L$2:$L$642,"△")</f>
        <v/>
      </c>
      <c r="I5" s="17">
        <f>COUNTIFS(全要素一覧!$B$2:$B$642,$A5,全要素一覧!$L$2:$L$642,"×")</f>
        <v/>
      </c>
      <c r="J5" s="17">
        <f>B5-SUM(F5:I5)</f>
        <v/>
      </c>
    </row>
    <row r="6" ht="16.5" customHeight="1">
      <c r="A6" s="16" t="inlineStr">
        <is>
          <t>サブタイプ</t>
        </is>
      </c>
      <c r="B6" s="17">
        <f>COUNTIF(全要素一覧!$B$2:$B$642,A6)</f>
        <v/>
      </c>
      <c r="C6" s="17">
        <f>COUNTIFS(全要素一覧!$B$2:$B$642,$A6,全要素一覧!$J$2:$J$642,"高")</f>
        <v/>
      </c>
      <c r="D6" s="17">
        <f>COUNTIFS(全要素一覧!$B$2:$B$642,$A6,全要素一覧!$J$2:$J$642,"中")</f>
        <v/>
      </c>
      <c r="E6" s="17">
        <f>COUNTIFS(全要素一覧!$B$2:$B$642,$A6,全要素一覧!$J$2:$J$642,"低")</f>
        <v/>
      </c>
      <c r="F6" s="17">
        <f>COUNTIFS(全要素一覧!$B$2:$B$642,$A6,全要素一覧!$L$2:$L$642,"◎")</f>
        <v/>
      </c>
      <c r="G6" s="17">
        <f>COUNTIFS(全要素一覧!$B$2:$B$642,$A6,全要素一覧!$L$2:$L$642,"○")</f>
        <v/>
      </c>
      <c r="H6" s="17">
        <f>COUNTIFS(全要素一覧!$B$2:$B$642,$A6,全要素一覧!$L$2:$L$642,"△")</f>
        <v/>
      </c>
      <c r="I6" s="17">
        <f>COUNTIFS(全要素一覧!$B$2:$B$642,$A6,全要素一覧!$L$2:$L$642,"×")</f>
        <v/>
      </c>
      <c r="J6" s="17">
        <f>B6-SUM(F6:I6)</f>
        <v/>
      </c>
    </row>
    <row r="7" ht="16.5" customHeight="1">
      <c r="A7" s="16" t="inlineStr">
        <is>
          <t>カードレイアウト</t>
        </is>
      </c>
      <c r="B7" s="17">
        <f>COUNTIF(全要素一覧!$B$2:$B$642,A7)</f>
        <v/>
      </c>
      <c r="C7" s="17">
        <f>COUNTIFS(全要素一覧!$B$2:$B$642,$A7,全要素一覧!$J$2:$J$642,"高")</f>
        <v/>
      </c>
      <c r="D7" s="17">
        <f>COUNTIFS(全要素一覧!$B$2:$B$642,$A7,全要素一覧!$J$2:$J$642,"中")</f>
        <v/>
      </c>
      <c r="E7" s="17">
        <f>COUNTIFS(全要素一覧!$B$2:$B$642,$A7,全要素一覧!$J$2:$J$642,"低")</f>
        <v/>
      </c>
      <c r="F7" s="17">
        <f>COUNTIFS(全要素一覧!$B$2:$B$642,$A7,全要素一覧!$L$2:$L$642,"◎")</f>
        <v/>
      </c>
      <c r="G7" s="17">
        <f>COUNTIFS(全要素一覧!$B$2:$B$642,$A7,全要素一覧!$L$2:$L$642,"○")</f>
        <v/>
      </c>
      <c r="H7" s="17">
        <f>COUNTIFS(全要素一覧!$B$2:$B$642,$A7,全要素一覧!$L$2:$L$642,"△")</f>
        <v/>
      </c>
      <c r="I7" s="17">
        <f>COUNTIFS(全要素一覧!$B$2:$B$642,$A7,全要素一覧!$L$2:$L$642,"×")</f>
        <v/>
      </c>
      <c r="J7" s="17">
        <f>B7-SUM(F7:I7)</f>
        <v/>
      </c>
    </row>
    <row r="8" ht="16.5" customHeight="1">
      <c r="A8" s="16" t="inlineStr">
        <is>
          <t>ゾーン</t>
        </is>
      </c>
      <c r="B8" s="17">
        <f>COUNTIF(全要素一覧!$B$2:$B$642,A8)</f>
        <v/>
      </c>
      <c r="C8" s="17">
        <f>COUNTIFS(全要素一覧!$B$2:$B$642,$A8,全要素一覧!$J$2:$J$642,"高")</f>
        <v/>
      </c>
      <c r="D8" s="17">
        <f>COUNTIFS(全要素一覧!$B$2:$B$642,$A8,全要素一覧!$J$2:$J$642,"中")</f>
        <v/>
      </c>
      <c r="E8" s="17">
        <f>COUNTIFS(全要素一覧!$B$2:$B$642,$A8,全要素一覧!$J$2:$J$642,"低")</f>
        <v/>
      </c>
      <c r="F8" s="17">
        <f>COUNTIFS(全要素一覧!$B$2:$B$642,$A8,全要素一覧!$L$2:$L$642,"◎")</f>
        <v/>
      </c>
      <c r="G8" s="17">
        <f>COUNTIFS(全要素一覧!$B$2:$B$642,$A8,全要素一覧!$L$2:$L$642,"○")</f>
        <v/>
      </c>
      <c r="H8" s="17">
        <f>COUNTIFS(全要素一覧!$B$2:$B$642,$A8,全要素一覧!$L$2:$L$642,"△")</f>
        <v/>
      </c>
      <c r="I8" s="17">
        <f>COUNTIFS(全要素一覧!$B$2:$B$642,$A8,全要素一覧!$L$2:$L$642,"×")</f>
        <v/>
      </c>
      <c r="J8" s="17">
        <f>B8-SUM(F8:I8)</f>
        <v/>
      </c>
    </row>
    <row r="9" ht="16.5" customHeight="1">
      <c r="A9" s="16" t="inlineStr">
        <is>
          <t>ターン構造</t>
        </is>
      </c>
      <c r="B9" s="17">
        <f>COUNTIF(全要素一覧!$B$2:$B$642,A9)</f>
        <v/>
      </c>
      <c r="C9" s="17">
        <f>COUNTIFS(全要素一覧!$B$2:$B$642,$A9,全要素一覧!$J$2:$J$642,"高")</f>
        <v/>
      </c>
      <c r="D9" s="17">
        <f>COUNTIFS(全要素一覧!$B$2:$B$642,$A9,全要素一覧!$J$2:$J$642,"中")</f>
        <v/>
      </c>
      <c r="E9" s="17">
        <f>COUNTIFS(全要素一覧!$B$2:$B$642,$A9,全要素一覧!$J$2:$J$642,"低")</f>
        <v/>
      </c>
      <c r="F9" s="17">
        <f>COUNTIFS(全要素一覧!$B$2:$B$642,$A9,全要素一覧!$L$2:$L$642,"◎")</f>
        <v/>
      </c>
      <c r="G9" s="17">
        <f>COUNTIFS(全要素一覧!$B$2:$B$642,$A9,全要素一覧!$L$2:$L$642,"○")</f>
        <v/>
      </c>
      <c r="H9" s="17">
        <f>COUNTIFS(全要素一覧!$B$2:$B$642,$A9,全要素一覧!$L$2:$L$642,"△")</f>
        <v/>
      </c>
      <c r="I9" s="17">
        <f>COUNTIFS(全要素一覧!$B$2:$B$642,$A9,全要素一覧!$L$2:$L$642,"×")</f>
        <v/>
      </c>
      <c r="J9" s="17">
        <f>B9-SUM(F9:I9)</f>
        <v/>
      </c>
    </row>
    <row r="10" ht="16.5" customHeight="1">
      <c r="A10" s="16" t="inlineStr">
        <is>
          <t>ゲームシステム</t>
        </is>
      </c>
      <c r="B10" s="17">
        <f>COUNTIF(全要素一覧!$B$2:$B$642,A10)</f>
        <v/>
      </c>
      <c r="C10" s="17">
        <f>COUNTIFS(全要素一覧!$B$2:$B$642,$A10,全要素一覧!$J$2:$J$642,"高")</f>
        <v/>
      </c>
      <c r="D10" s="17">
        <f>COUNTIFS(全要素一覧!$B$2:$B$642,$A10,全要素一覧!$J$2:$J$642,"中")</f>
        <v/>
      </c>
      <c r="E10" s="17">
        <f>COUNTIFS(全要素一覧!$B$2:$B$642,$A10,全要素一覧!$J$2:$J$642,"低")</f>
        <v/>
      </c>
      <c r="F10" s="17">
        <f>COUNTIFS(全要素一覧!$B$2:$B$642,$A10,全要素一覧!$L$2:$L$642,"◎")</f>
        <v/>
      </c>
      <c r="G10" s="17">
        <f>COUNTIFS(全要素一覧!$B$2:$B$642,$A10,全要素一覧!$L$2:$L$642,"○")</f>
        <v/>
      </c>
      <c r="H10" s="17">
        <f>COUNTIFS(全要素一覧!$B$2:$B$642,$A10,全要素一覧!$L$2:$L$642,"△")</f>
        <v/>
      </c>
      <c r="I10" s="17">
        <f>COUNTIFS(全要素一覧!$B$2:$B$642,$A10,全要素一覧!$L$2:$L$642,"×")</f>
        <v/>
      </c>
      <c r="J10" s="17">
        <f>B10-SUM(F10:I10)</f>
        <v/>
      </c>
    </row>
    <row r="11" ht="16.5" customHeight="1">
      <c r="A11" s="16" t="inlineStr">
        <is>
          <t>カウンター</t>
        </is>
      </c>
      <c r="B11" s="17">
        <f>COUNTIF(全要素一覧!$B$2:$B$642,A11)</f>
        <v/>
      </c>
      <c r="C11" s="17">
        <f>COUNTIFS(全要素一覧!$B$2:$B$642,$A11,全要素一覧!$J$2:$J$642,"高")</f>
        <v/>
      </c>
      <c r="D11" s="17">
        <f>COUNTIFS(全要素一覧!$B$2:$B$642,$A11,全要素一覧!$J$2:$J$642,"中")</f>
        <v/>
      </c>
      <c r="E11" s="17">
        <f>COUNTIFS(全要素一覧!$B$2:$B$642,$A11,全要素一覧!$J$2:$J$642,"低")</f>
        <v/>
      </c>
      <c r="F11" s="17">
        <f>COUNTIFS(全要素一覧!$B$2:$B$642,$A11,全要素一覧!$L$2:$L$642,"◎")</f>
        <v/>
      </c>
      <c r="G11" s="17">
        <f>COUNTIFS(全要素一覧!$B$2:$B$642,$A11,全要素一覧!$L$2:$L$642,"○")</f>
        <v/>
      </c>
      <c r="H11" s="17">
        <f>COUNTIFS(全要素一覧!$B$2:$B$642,$A11,全要素一覧!$L$2:$L$642,"△")</f>
        <v/>
      </c>
      <c r="I11" s="17">
        <f>COUNTIFS(全要素一覧!$B$2:$B$642,$A11,全要素一覧!$L$2:$L$642,"×")</f>
        <v/>
      </c>
      <c r="J11" s="17">
        <f>B11-SUM(F11:I11)</f>
        <v/>
      </c>
    </row>
    <row r="12" ht="16.5" customHeight="1">
      <c r="A12" s="16" t="inlineStr">
        <is>
          <t>トークン</t>
        </is>
      </c>
      <c r="B12" s="17">
        <f>COUNTIF(全要素一覧!$B$2:$B$642,A12)</f>
        <v/>
      </c>
      <c r="C12" s="17">
        <f>COUNTIFS(全要素一覧!$B$2:$B$642,$A12,全要素一覧!$J$2:$J$642,"高")</f>
        <v/>
      </c>
      <c r="D12" s="17">
        <f>COUNTIFS(全要素一覧!$B$2:$B$642,$A12,全要素一覧!$J$2:$J$642,"中")</f>
        <v/>
      </c>
      <c r="E12" s="17">
        <f>COUNTIFS(全要素一覧!$B$2:$B$642,$A12,全要素一覧!$J$2:$J$642,"低")</f>
        <v/>
      </c>
      <c r="F12" s="17">
        <f>COUNTIFS(全要素一覧!$B$2:$B$642,$A12,全要素一覧!$L$2:$L$642,"◎")</f>
        <v/>
      </c>
      <c r="G12" s="17">
        <f>COUNTIFS(全要素一覧!$B$2:$B$642,$A12,全要素一覧!$L$2:$L$642,"○")</f>
        <v/>
      </c>
      <c r="H12" s="17">
        <f>COUNTIFS(全要素一覧!$B$2:$B$642,$A12,全要素一覧!$L$2:$L$642,"△")</f>
        <v/>
      </c>
      <c r="I12" s="17">
        <f>COUNTIFS(全要素一覧!$B$2:$B$642,$A12,全要素一覧!$L$2:$L$642,"×")</f>
        <v/>
      </c>
      <c r="J12" s="17">
        <f>B12-SUM(F12:I12)</f>
        <v/>
      </c>
    </row>
    <row r="13" ht="16.5" customHeight="1">
      <c r="A13" s="16" t="inlineStr">
        <is>
          <t>指定・状態</t>
        </is>
      </c>
      <c r="B13" s="17">
        <f>COUNTIF(全要素一覧!$B$2:$B$642,A13)</f>
        <v/>
      </c>
      <c r="C13" s="17">
        <f>COUNTIFS(全要素一覧!$B$2:$B$642,$A13,全要素一覧!$J$2:$J$642,"高")</f>
        <v/>
      </c>
      <c r="D13" s="17">
        <f>COUNTIFS(全要素一覧!$B$2:$B$642,$A13,全要素一覧!$J$2:$J$642,"中")</f>
        <v/>
      </c>
      <c r="E13" s="17">
        <f>COUNTIFS(全要素一覧!$B$2:$B$642,$A13,全要素一覧!$J$2:$J$642,"低")</f>
        <v/>
      </c>
      <c r="F13" s="17">
        <f>COUNTIFS(全要素一覧!$B$2:$B$642,$A13,全要素一覧!$L$2:$L$642,"◎")</f>
        <v/>
      </c>
      <c r="G13" s="17">
        <f>COUNTIFS(全要素一覧!$B$2:$B$642,$A13,全要素一覧!$L$2:$L$642,"○")</f>
        <v/>
      </c>
      <c r="H13" s="17">
        <f>COUNTIFS(全要素一覧!$B$2:$B$642,$A13,全要素一覧!$L$2:$L$642,"△")</f>
        <v/>
      </c>
      <c r="I13" s="17">
        <f>COUNTIFS(全要素一覧!$B$2:$B$642,$A13,全要素一覧!$L$2:$L$642,"×")</f>
        <v/>
      </c>
      <c r="J13" s="17">
        <f>B13-SUM(F13:I13)</f>
        <v/>
      </c>
    </row>
    <row r="14" ht="16.5" customHeight="1">
      <c r="A14" s="16" t="inlineStr">
        <is>
          <t>キーワード能力</t>
        </is>
      </c>
      <c r="B14" s="17">
        <f>COUNTIF(全要素一覧!$B$2:$B$642,A14)</f>
        <v/>
      </c>
      <c r="C14" s="17">
        <f>COUNTIFS(全要素一覧!$B$2:$B$642,$A14,全要素一覧!$J$2:$J$642,"高")</f>
        <v/>
      </c>
      <c r="D14" s="17">
        <f>COUNTIFS(全要素一覧!$B$2:$B$642,$A14,全要素一覧!$J$2:$J$642,"中")</f>
        <v/>
      </c>
      <c r="E14" s="17">
        <f>COUNTIFS(全要素一覧!$B$2:$B$642,$A14,全要素一覧!$J$2:$J$642,"低")</f>
        <v/>
      </c>
      <c r="F14" s="17">
        <f>COUNTIFS(全要素一覧!$B$2:$B$642,$A14,全要素一覧!$L$2:$L$642,"◎")</f>
        <v/>
      </c>
      <c r="G14" s="17">
        <f>COUNTIFS(全要素一覧!$B$2:$B$642,$A14,全要素一覧!$L$2:$L$642,"○")</f>
        <v/>
      </c>
      <c r="H14" s="17">
        <f>COUNTIFS(全要素一覧!$B$2:$B$642,$A14,全要素一覧!$L$2:$L$642,"△")</f>
        <v/>
      </c>
      <c r="I14" s="17">
        <f>COUNTIFS(全要素一覧!$B$2:$B$642,$A14,全要素一覧!$L$2:$L$642,"×")</f>
        <v/>
      </c>
      <c r="J14" s="17">
        <f>B14-SUM(F14:I14)</f>
        <v/>
      </c>
    </row>
    <row r="15" ht="16.5" customHeight="1">
      <c r="A15" s="16" t="inlineStr">
        <is>
          <t>キーワード処理</t>
        </is>
      </c>
      <c r="B15" s="17">
        <f>COUNTIF(全要素一覧!$B$2:$B$642,A15)</f>
        <v/>
      </c>
      <c r="C15" s="17">
        <f>COUNTIFS(全要素一覧!$B$2:$B$642,$A15,全要素一覧!$J$2:$J$642,"高")</f>
        <v/>
      </c>
      <c r="D15" s="17">
        <f>COUNTIFS(全要素一覧!$B$2:$B$642,$A15,全要素一覧!$J$2:$J$642,"中")</f>
        <v/>
      </c>
      <c r="E15" s="17">
        <f>COUNTIFS(全要素一覧!$B$2:$B$642,$A15,全要素一覧!$J$2:$J$642,"低")</f>
        <v/>
      </c>
      <c r="F15" s="17">
        <f>COUNTIFS(全要素一覧!$B$2:$B$642,$A15,全要素一覧!$L$2:$L$642,"◎")</f>
        <v/>
      </c>
      <c r="G15" s="17">
        <f>COUNTIFS(全要素一覧!$B$2:$B$642,$A15,全要素一覧!$L$2:$L$642,"○")</f>
        <v/>
      </c>
      <c r="H15" s="17">
        <f>COUNTIFS(全要素一覧!$B$2:$B$642,$A15,全要素一覧!$L$2:$L$642,"△")</f>
        <v/>
      </c>
      <c r="I15" s="17">
        <f>COUNTIFS(全要素一覧!$B$2:$B$642,$A15,全要素一覧!$L$2:$L$642,"×")</f>
        <v/>
      </c>
      <c r="J15" s="17">
        <f>B15-SUM(F15:I15)</f>
        <v/>
      </c>
    </row>
    <row r="16" ht="16.5" customHeight="1">
      <c r="A16" s="16" t="inlineStr">
        <is>
          <t>能力語</t>
        </is>
      </c>
      <c r="B16" s="17">
        <f>COUNTIF(全要素一覧!$B$2:$B$642,A16)</f>
        <v/>
      </c>
      <c r="C16" s="17">
        <f>COUNTIFS(全要素一覧!$B$2:$B$642,$A16,全要素一覧!$J$2:$J$642,"高")</f>
        <v/>
      </c>
      <c r="D16" s="17">
        <f>COUNTIFS(全要素一覧!$B$2:$B$642,$A16,全要素一覧!$J$2:$J$642,"中")</f>
        <v/>
      </c>
      <c r="E16" s="17">
        <f>COUNTIFS(全要素一覧!$B$2:$B$642,$A16,全要素一覧!$J$2:$J$642,"低")</f>
        <v/>
      </c>
      <c r="F16" s="17">
        <f>COUNTIFS(全要素一覧!$B$2:$B$642,$A16,全要素一覧!$L$2:$L$642,"◎")</f>
        <v/>
      </c>
      <c r="G16" s="17">
        <f>COUNTIFS(全要素一覧!$B$2:$B$642,$A16,全要素一覧!$L$2:$L$642,"○")</f>
        <v/>
      </c>
      <c r="H16" s="17">
        <f>COUNTIFS(全要素一覧!$B$2:$B$642,$A16,全要素一覧!$L$2:$L$642,"△")</f>
        <v/>
      </c>
      <c r="I16" s="17">
        <f>COUNTIFS(全要素一覧!$B$2:$B$642,$A16,全要素一覧!$L$2:$L$642,"×")</f>
        <v/>
      </c>
      <c r="J16" s="17">
        <f>B16-SUM(F16:I16)</f>
        <v/>
      </c>
    </row>
    <row r="17" ht="16.5" customHeight="1">
      <c r="A17" s="16" t="inlineStr">
        <is>
          <t>デジタル専用メカニズム</t>
        </is>
      </c>
      <c r="B17" s="17">
        <f>COUNTIF(全要素一覧!$B$2:$B$642,A17)</f>
        <v/>
      </c>
      <c r="C17" s="17">
        <f>COUNTIFS(全要素一覧!$B$2:$B$642,$A17,全要素一覧!$J$2:$J$642,"高")</f>
        <v/>
      </c>
      <c r="D17" s="17">
        <f>COUNTIFS(全要素一覧!$B$2:$B$642,$A17,全要素一覧!$J$2:$J$642,"中")</f>
        <v/>
      </c>
      <c r="E17" s="17">
        <f>COUNTIFS(全要素一覧!$B$2:$B$642,$A17,全要素一覧!$J$2:$J$642,"低")</f>
        <v/>
      </c>
      <c r="F17" s="17">
        <f>COUNTIFS(全要素一覧!$B$2:$B$642,$A17,全要素一覧!$L$2:$L$642,"◎")</f>
        <v/>
      </c>
      <c r="G17" s="17">
        <f>COUNTIFS(全要素一覧!$B$2:$B$642,$A17,全要素一覧!$L$2:$L$642,"○")</f>
        <v/>
      </c>
      <c r="H17" s="17">
        <f>COUNTIFS(全要素一覧!$B$2:$B$642,$A17,全要素一覧!$L$2:$L$642,"△")</f>
        <v/>
      </c>
      <c r="I17" s="17">
        <f>COUNTIFS(全要素一覧!$B$2:$B$642,$A17,全要素一覧!$L$2:$L$642,"×")</f>
        <v/>
      </c>
      <c r="J17" s="17">
        <f>B17-SUM(F17:I17)</f>
        <v/>
      </c>
    </row>
    <row r="18" ht="16.5" customHeight="1">
      <c r="A18" s="16" t="inlineStr">
        <is>
          <t>特殊フォーマット</t>
        </is>
      </c>
      <c r="B18" s="17">
        <f>COUNTIF(全要素一覧!$B$2:$B$642,A18)</f>
        <v/>
      </c>
      <c r="C18" s="17">
        <f>COUNTIFS(全要素一覧!$B$2:$B$642,$A18,全要素一覧!$J$2:$J$642,"高")</f>
        <v/>
      </c>
      <c r="D18" s="17">
        <f>COUNTIFS(全要素一覧!$B$2:$B$642,$A18,全要素一覧!$J$2:$J$642,"中")</f>
        <v/>
      </c>
      <c r="E18" s="17">
        <f>COUNTIFS(全要素一覧!$B$2:$B$642,$A18,全要素一覧!$J$2:$J$642,"低")</f>
        <v/>
      </c>
      <c r="F18" s="17">
        <f>COUNTIFS(全要素一覧!$B$2:$B$642,$A18,全要素一覧!$L$2:$L$642,"◎")</f>
        <v/>
      </c>
      <c r="G18" s="17">
        <f>COUNTIFS(全要素一覧!$B$2:$B$642,$A18,全要素一覧!$L$2:$L$642,"○")</f>
        <v/>
      </c>
      <c r="H18" s="17">
        <f>COUNTIFS(全要素一覧!$B$2:$B$642,$A18,全要素一覧!$L$2:$L$642,"△")</f>
        <v/>
      </c>
      <c r="I18" s="17">
        <f>COUNTIFS(全要素一覧!$B$2:$B$642,$A18,全要素一覧!$L$2:$L$642,"×")</f>
        <v/>
      </c>
      <c r="J18" s="17">
        <f>B18-SUM(F18:I18)</f>
        <v/>
      </c>
    </row>
    <row r="19" ht="16.5" customHeight="1">
      <c r="A19" s="16" t="inlineStr">
        <is>
          <t>デザイン手法</t>
        </is>
      </c>
      <c r="B19" s="17">
        <f>COUNTIF(全要素一覧!$B$2:$B$642,A19)</f>
        <v/>
      </c>
      <c r="C19" s="17">
        <f>COUNTIFS(全要素一覧!$B$2:$B$642,$A19,全要素一覧!$J$2:$J$642,"高")</f>
        <v/>
      </c>
      <c r="D19" s="17">
        <f>COUNTIFS(全要素一覧!$B$2:$B$642,$A19,全要素一覧!$J$2:$J$642,"中")</f>
        <v/>
      </c>
      <c r="E19" s="17">
        <f>COUNTIFS(全要素一覧!$B$2:$B$642,$A19,全要素一覧!$J$2:$J$642,"低")</f>
        <v/>
      </c>
      <c r="F19" s="17">
        <f>COUNTIFS(全要素一覧!$B$2:$B$642,$A19,全要素一覧!$L$2:$L$642,"◎")</f>
        <v/>
      </c>
      <c r="G19" s="17">
        <f>COUNTIFS(全要素一覧!$B$2:$B$642,$A19,全要素一覧!$L$2:$L$642,"○")</f>
        <v/>
      </c>
      <c r="H19" s="17">
        <f>COUNTIFS(全要素一覧!$B$2:$B$642,$A19,全要素一覧!$L$2:$L$642,"△")</f>
        <v/>
      </c>
      <c r="I19" s="17">
        <f>COUNTIFS(全要素一覧!$B$2:$B$642,$A19,全要素一覧!$L$2:$L$642,"×")</f>
        <v/>
      </c>
      <c r="J19" s="17">
        <f>B19-SUM(F19:I19)</f>
        <v/>
      </c>
    </row>
    <row r="20" ht="16.5" customHeight="1">
      <c r="A20" s="16" t="inlineStr">
        <is>
          <t>合計</t>
        </is>
      </c>
      <c r="B20" s="18">
        <f>SUM(B4:B19)</f>
        <v/>
      </c>
      <c r="C20" s="18">
        <f>SUM(C4:C19)</f>
        <v/>
      </c>
      <c r="D20" s="18">
        <f>SUM(D4:D19)</f>
        <v/>
      </c>
      <c r="E20" s="18">
        <f>SUM(E4:E19)</f>
        <v/>
      </c>
      <c r="F20" s="18">
        <f>SUM(F4:F19)</f>
        <v/>
      </c>
      <c r="G20" s="18">
        <f>SUM(G4:G19)</f>
        <v/>
      </c>
      <c r="H20" s="18">
        <f>SUM(H4:H19)</f>
        <v/>
      </c>
      <c r="I20" s="18">
        <f>SUM(I4:I19)</f>
        <v/>
      </c>
      <c r="J20" s="18">
        <f>SUM(J4:J19)</f>
        <v/>
      </c>
    </row>
    <row r="22" ht="18" customHeight="1">
      <c r="A22" s="15" t="inlineStr">
        <is>
          <t>機能タグ別の件数</t>
        </is>
      </c>
    </row>
    <row r="23" ht="26" customHeight="1">
      <c r="A23" s="6" t="inlineStr">
        <is>
          <t>機能タグ</t>
        </is>
      </c>
      <c r="B23" s="6" t="inlineStr">
        <is>
          <t>件数</t>
        </is>
      </c>
      <c r="C23" s="6" t="inlineStr">
        <is>
          <t>うち導入しやすさ 高</t>
        </is>
      </c>
    </row>
    <row r="24" ht="16.5" customHeight="1">
      <c r="A24" s="16" t="inlineStr">
        <is>
          <t>攻撃</t>
        </is>
      </c>
      <c r="B24" s="17">
        <f>COUNTIF(全要素一覧!$C$2:$C$642,A24)</f>
        <v/>
      </c>
      <c r="C24" s="17">
        <f>COUNTIFS(全要素一覧!$C$2:$C$642,A24,全要素一覧!$J$2:$J$642,"高")</f>
        <v/>
      </c>
    </row>
    <row r="25" ht="16.5" customHeight="1">
      <c r="A25" s="16" t="inlineStr">
        <is>
          <t>回避</t>
        </is>
      </c>
      <c r="B25" s="17">
        <f>COUNTIF(全要素一覧!$C$2:$C$642,A25)</f>
        <v/>
      </c>
      <c r="C25" s="17">
        <f>COUNTIFS(全要素一覧!$C$2:$C$642,A25,全要素一覧!$J$2:$J$642,"高")</f>
        <v/>
      </c>
    </row>
    <row r="26" ht="16.5" customHeight="1">
      <c r="A26" s="16" t="inlineStr">
        <is>
          <t>防御</t>
        </is>
      </c>
      <c r="B26" s="17">
        <f>COUNTIF(全要素一覧!$C$2:$C$642,A26)</f>
        <v/>
      </c>
      <c r="C26" s="17">
        <f>COUNTIFS(全要素一覧!$C$2:$C$642,A26,全要素一覧!$J$2:$J$642,"高")</f>
        <v/>
      </c>
    </row>
    <row r="27" ht="16.5" customHeight="1">
      <c r="A27" s="16" t="inlineStr">
        <is>
          <t>除去</t>
        </is>
      </c>
      <c r="B27" s="17">
        <f>COUNTIF(全要素一覧!$C$2:$C$642,A27)</f>
        <v/>
      </c>
      <c r="C27" s="17">
        <f>COUNTIFS(全要素一覧!$C$2:$C$642,A27,全要素一覧!$J$2:$J$642,"高")</f>
        <v/>
      </c>
    </row>
    <row r="28" ht="16.5" customHeight="1">
      <c r="A28" s="16" t="inlineStr">
        <is>
          <t>妨害</t>
        </is>
      </c>
      <c r="B28" s="17">
        <f>COUNTIF(全要素一覧!$C$2:$C$642,A28)</f>
        <v/>
      </c>
      <c r="C28" s="17">
        <f>COUNTIFS(全要素一覧!$C$2:$C$642,A28,全要素一覧!$J$2:$J$642,"高")</f>
        <v/>
      </c>
    </row>
    <row r="29" ht="16.5" customHeight="1">
      <c r="A29" s="16" t="inlineStr">
        <is>
          <t>ドロー・手札</t>
        </is>
      </c>
      <c r="B29" s="17">
        <f>COUNTIF(全要素一覧!$C$2:$C$642,A29)</f>
        <v/>
      </c>
      <c r="C29" s="17">
        <f>COUNTIFS(全要素一覧!$C$2:$C$642,A29,全要素一覧!$J$2:$J$642,"高")</f>
        <v/>
      </c>
    </row>
    <row r="30" ht="16.5" customHeight="1">
      <c r="A30" s="16" t="inlineStr">
        <is>
          <t>山札操作</t>
        </is>
      </c>
      <c r="B30" s="17">
        <f>COUNTIF(全要素一覧!$C$2:$C$642,A30)</f>
        <v/>
      </c>
      <c r="C30" s="17">
        <f>COUNTIFS(全要素一覧!$C$2:$C$642,A30,全要素一覧!$J$2:$J$642,"高")</f>
        <v/>
      </c>
    </row>
    <row r="31" ht="16.5" customHeight="1">
      <c r="A31" s="16" t="inlineStr">
        <is>
          <t>墓地利用</t>
        </is>
      </c>
      <c r="B31" s="17">
        <f>COUNTIF(全要素一覧!$C$2:$C$642,A31)</f>
        <v/>
      </c>
      <c r="C31" s="17">
        <f>COUNTIFS(全要素一覧!$C$2:$C$642,A31,全要素一覧!$J$2:$J$642,"高")</f>
        <v/>
      </c>
    </row>
    <row r="32" ht="16.5" customHeight="1">
      <c r="A32" s="16" t="inlineStr">
        <is>
          <t>コスト・リソース</t>
        </is>
      </c>
      <c r="B32" s="17">
        <f>COUNTIF(全要素一覧!$C$2:$C$642,A32)</f>
        <v/>
      </c>
      <c r="C32" s="17">
        <f>COUNTIFS(全要素一覧!$C$2:$C$642,A32,全要素一覧!$J$2:$J$642,"高")</f>
        <v/>
      </c>
    </row>
    <row r="33" ht="16.5" customHeight="1">
      <c r="A33" s="16" t="inlineStr">
        <is>
          <t>展開・トークン</t>
        </is>
      </c>
      <c r="B33" s="17">
        <f>COUNTIF(全要素一覧!$C$2:$C$642,A33)</f>
        <v/>
      </c>
      <c r="C33" s="17">
        <f>COUNTIFS(全要素一覧!$C$2:$C$642,A33,全要素一覧!$J$2:$J$642,"高")</f>
        <v/>
      </c>
    </row>
    <row r="34" ht="16.5" customHeight="1">
      <c r="A34" s="16" t="inlineStr">
        <is>
          <t>強化</t>
        </is>
      </c>
      <c r="B34" s="17">
        <f>COUNTIF(全要素一覧!$C$2:$C$642,A34)</f>
        <v/>
      </c>
      <c r="C34" s="17">
        <f>COUNTIFS(全要素一覧!$C$2:$C$642,A34,全要素一覧!$J$2:$J$642,"高")</f>
        <v/>
      </c>
    </row>
    <row r="35" ht="16.5" customHeight="1">
      <c r="A35" s="16" t="inlineStr">
        <is>
          <t>成長・カウンター</t>
        </is>
      </c>
      <c r="B35" s="17">
        <f>COUNTIF(全要素一覧!$C$2:$C$642,A35)</f>
        <v/>
      </c>
      <c r="C35" s="17">
        <f>COUNTIFS(全要素一覧!$C$2:$C$642,A35,全要素一覧!$J$2:$J$642,"高")</f>
        <v/>
      </c>
    </row>
    <row r="36" ht="16.5" customHeight="1">
      <c r="A36" s="16" t="inlineStr">
        <is>
          <t>条件ボーナス</t>
        </is>
      </c>
      <c r="B36" s="17">
        <f>COUNTIF(全要素一覧!$C$2:$C$642,A36)</f>
        <v/>
      </c>
      <c r="C36" s="17">
        <f>COUNTIFS(全要素一覧!$C$2:$C$642,A36,全要素一覧!$J$2:$J$642,"高")</f>
        <v/>
      </c>
    </row>
    <row r="37" ht="16.5" customHeight="1">
      <c r="A37" s="16" t="inlineStr">
        <is>
          <t>反復・再利用</t>
        </is>
      </c>
      <c r="B37" s="17">
        <f>COUNTIF(全要素一覧!$C$2:$C$642,A37)</f>
        <v/>
      </c>
      <c r="C37" s="17">
        <f>COUNTIFS(全要素一覧!$C$2:$C$642,A37,全要素一覧!$J$2:$J$642,"高")</f>
        <v/>
      </c>
    </row>
    <row r="38" ht="16.5" customHeight="1">
      <c r="A38" s="16" t="inlineStr">
        <is>
          <t>勝利条件</t>
        </is>
      </c>
      <c r="B38" s="17">
        <f>COUNTIF(全要素一覧!$C$2:$C$642,A38)</f>
        <v/>
      </c>
      <c r="C38" s="17">
        <f>COUNTIFS(全要素一覧!$C$2:$C$642,A38,全要素一覧!$J$2:$J$642,"高")</f>
        <v/>
      </c>
    </row>
    <row r="39" ht="16.5" customHeight="1">
      <c r="A39" s="16" t="inlineStr">
        <is>
          <t>多人数・交流</t>
        </is>
      </c>
      <c r="B39" s="17">
        <f>COUNTIF(全要素一覧!$C$2:$C$642,A39)</f>
        <v/>
      </c>
      <c r="C39" s="17">
        <f>COUNTIFS(全要素一覧!$C$2:$C$642,A39,全要素一覧!$J$2:$J$642,"高")</f>
        <v/>
      </c>
    </row>
    <row r="40" ht="16.5" customHeight="1">
      <c r="A40" s="16" t="inlineStr">
        <is>
          <t>デッキ構築</t>
        </is>
      </c>
      <c r="B40" s="17">
        <f>COUNTIF(全要素一覧!$C$2:$C$642,A40)</f>
        <v/>
      </c>
      <c r="C40" s="17">
        <f>COUNTIFS(全要素一覧!$C$2:$C$642,A40,全要素一覧!$J$2:$J$642,"高")</f>
        <v/>
      </c>
    </row>
    <row r="41" ht="16.5" customHeight="1">
      <c r="A41" s="16" t="inlineStr">
        <is>
          <t>ルール基盤</t>
        </is>
      </c>
      <c r="B41" s="17">
        <f>COUNTIF(全要素一覧!$C$2:$C$642,A41)</f>
        <v/>
      </c>
      <c r="C41" s="17">
        <f>COUNTIFS(全要素一覧!$C$2:$C$642,A41,全要素一覧!$J$2:$J$642,"高")</f>
        <v/>
      </c>
    </row>
    <row r="42" ht="16.5" customHeight="1">
      <c r="A42" s="16" t="inlineStr">
        <is>
          <t>その他</t>
        </is>
      </c>
      <c r="B42" s="17">
        <f>COUNTIF(全要素一覧!$C$2:$C$642,A42)</f>
        <v/>
      </c>
      <c r="C42" s="17">
        <f>COUNTIFS(全要素一覧!$C$2:$C$642,A42,全要素一覧!$J$2:$J$642,"高")</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2026-10-19T17:08:19Z</dcterms:created>
  <dcterms:modified xmlns:dcterms="http://purl.org/dc/terms/" xmlns:xsi="http://www.w3.org/2001/XMLSchema-instance" xsi:type="dcterms:W3CDTF">2026-10-20T15:05:55Z</dcterms:modified>
  <cp:lastModifiedBy>創一 長谷川</cp:lastModifiedBy>
  <cp:revision>0</cp:revision>
</cp:coreProperties>
</file>